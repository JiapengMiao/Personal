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ae3512f45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00ac9e8d8d64da9"/>
    <x:sheet xmlns:r="http://schemas.openxmlformats.org/officeDocument/2006/relationships" name="使用说明" sheetId="2" r:id="Rb7a325945c6f46bc"/>
    <x:sheet xmlns:r="http://schemas.openxmlformats.org/officeDocument/2006/relationships" name="指标更新" sheetId="3" r:id="R67f74465f6344235"/>
    <x:sheet xmlns:r="http://schemas.openxmlformats.org/officeDocument/2006/relationships" name="历史数据" sheetId="4" r:id="R46767b4df1bc45b9"/>
    <x:sheet xmlns:r="http://schemas.openxmlformats.org/officeDocument/2006/relationships" name="指标字典" sheetId="5" r:id="R561fd8d8d8db41d9"/>
    <x:sheet xmlns:r="http://schemas.openxmlformats.org/officeDocument/2006/relationships" name="更新日志" sheetId="6" r:id="R5de70603c7a5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"/>
    <x:numFmt numFmtId="201" formatCode="0.0%"/>
    <x:numFmt numFmtId="202" formatCode="#,##0.00"/>
    <x:numFmt numFmtId="203" formatCode="0"/>
    <x:numFmt numFmtId="204" formatCode="#,##0.0 &quot;吨&quot;"/>
    <x:numFmt numFmtId="205" formatCode="#,##0.0 &quot;TWh&quot;"/>
    <x:numFmt numFmtId="206" formatCode="@"/>
    <x:numFmt numFmtId="207" formatCode="yyyy-mm-dd"/>
  </x:numFmts>
  <x:fonts count="13">
    <x:font>
      <x:sz val="11"/>
      <x:name val="Carlito"/>
    </x:font>
    <x:font>
      <x:b/>
      <x:sz val="20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b/>
      <x:sz val="11"/>
      <x:color rgb="FF204C70"/>
      <x:name val="Carlito"/>
    </x:font>
    <x:font>
      <x:sz val="9"/>
      <x:color rgb="FF64748B"/>
      <x:name val="Carlito"/>
    </x:font>
    <x:font>
      <x:sz val="11"/>
      <x:color rgb="FF17212B"/>
      <x:name val="Carlito"/>
    </x:font>
    <x:font>
      <x:b/>
      <x:sz val="10"/>
      <x:color rgb="FF17212B"/>
      <x:name val="Carlito"/>
    </x:font>
    <x:font>
      <x:b/>
      <x:sz val="16"/>
      <x:color rgb="FF17212B"/>
      <x:name val="Carlito"/>
    </x:font>
    <x:font>
      <x:b/>
      <x:sz val="9"/>
      <x:color rgb="FF334155"/>
      <x:name val="Carlito"/>
    </x:font>
    <x:font>
      <x:b/>
      <x:sz val="12"/>
      <x:color rgb="FF17212B"/>
      <x:name val="Carlito"/>
    </x:font>
    <x:font>
      <x:b/>
      <x:sz val="12"/>
      <x:color rgb="FF204C7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04C70"/>
      </x:patternFill>
    </x:fill>
    <x:fill>
      <x:patternFill patternType="solid">
        <x:fgColor rgb="FFDCEAF4"/>
      </x:patternFill>
    </x:fill>
    <x:fill>
      <x:patternFill patternType="solid">
        <x:fgColor rgb="FF2F6B9A"/>
      </x:patternFill>
    </x:fill>
    <x:fill>
      <x:patternFill patternType="solid">
        <x:fgColor rgb="FFEAF2F8"/>
      </x:patternFill>
    </x:fill>
    <x:fill>
      <x:patternFill patternType="solid">
        <x:fgColor rgb="FFFFF5D9"/>
      </x:patternFill>
    </x:fill>
    <x:fill>
      <x:patternFill patternType="solid">
        <x:fgColor rgb="FFF4F7FA"/>
      </x:patternFill>
    </x:fill>
    <x:fill>
      <x:patternFill patternType="solid">
        <x:fgColor rgb="FFE8EDF2"/>
      </x:patternFill>
    </x:fill>
    <x:fill>
      <x:patternFill patternType="solid">
        <x:fgColor rgb="FFF3E7C8"/>
      </x:patternFill>
    </x:fill>
    <x:fill>
      <x:patternFill patternType="solid">
        <x:fgColor rgb="FFFFF9EA"/>
      </x:patternFill>
    </x:fill>
    <x:fill>
      <x:patternFill patternType="solid">
        <x:fgColor rgb="FFE4EAD8"/>
      </x:patternFill>
    </x:fill>
    <x:fill>
      <x:patternFill patternType="solid">
        <x:fgColor rgb="FFE7EEF6"/>
      </x:patternFill>
    </x:fill>
    <x:fill>
      <x:patternFill patternType="solid">
        <x:fgColor rgb="FFF8E3D7"/>
      </x:patternFill>
    </x:fill>
  </x:fills>
  <x:borders count="11">
    <x:border/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left style="thin">
        <x:color rgb="FFDCE3EA"/>
      </x:left>
      <x:top style="thin">
        <x:color rgb="FFDCE3EA"/>
      </x:top>
    </x:border>
    <x:border>
      <x:top style="thin">
        <x:color rgb="FFDCE3EA"/>
      </x:top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</x:border>
    <x:border>
      <x:right style="thin">
        <x:color rgb="FFDCE3EA"/>
      </x:right>
    </x:border>
    <x:border>
      <x:left style="thin">
        <x:color rgb="FFDCE3EA"/>
      </x:left>
      <x:bottom style="thin">
        <x:color rgb="FFDCE3EA"/>
      </x:bottom>
    </x:border>
    <x:border>
      <x:right style="thin">
        <x:color rgb="FFDCE3EA"/>
      </x:right>
      <x:bottom style="thin">
        <x:color rgb="FFDCE3EA"/>
      </x:bottom>
    </x:border>
  </x:borders>
  <x:cellStyleXfs count="1">
    <x:xf numFmtId="0" fontId="0" fillId="0" borderId="0"/>
  </x:cellStyleXfs>
  <x:cellXfs count="3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 wrapText="1"/>
    </x:xf>
    <x:xf numFmtId="200" fontId="4" fillId="7" borderId="2" xfId="0" applyNumberFormat="1" applyFont="1" applyFill="1" applyBorder="1" applyAlignment="1">
      <x:alignment vertical="center" wrapText="1"/>
    </x:xf>
    <x:xf numFmtId="200" fontId="4" fillId="7" borderId="3" xfId="0" applyNumberFormat="1" applyFont="1" applyFill="1" applyBorder="1" applyAlignment="1">
      <x:alignment vertical="center" wrapText="1"/>
    </x:xf>
    <x:xf numFmtId="201" fontId="4" fillId="7" borderId="2" xfId="0" applyNumberFormat="1" applyFont="1" applyFill="1" applyBorder="1" applyAlignment="1">
      <x:alignment vertical="center" wrapText="1"/>
    </x:xf>
    <x:xf numFmtId="201" fontId="4" fillId="7" borderId="3" xfId="0" applyNumberFormat="1" applyFont="1" applyFill="1" applyBorder="1" applyAlignment="1">
      <x:alignment vertical="center" wrapText="1"/>
    </x:xf>
    <x:xf numFmtId="202" fontId="4" fillId="6" borderId="2" xfId="0" applyNumberFormat="1" applyFont="1" applyFill="1" applyBorder="1" applyAlignment="1">
      <x:alignment vertical="center" wrapText="1"/>
    </x:xf>
    <x:xf numFmtId="202" fontId="4" fillId="6" borderId="3" xfId="0" applyNumberFormat="1" applyFont="1" applyFill="1" applyBorder="1" applyAlignment="1">
      <x:alignment vertical="center" wrapText="1"/>
    </x:xf>
    <x:xf numFmtId="203" fontId="4" fillId="8" borderId="2" xfId="0" applyNumberFormat="1" applyFont="1" applyFill="1" applyBorder="1" applyAlignment="1">
      <x:alignment vertical="center" wrapText="1"/>
    </x:xf>
    <x:xf numFmtId="203" fontId="4" fillId="8" borderId="3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6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200" fontId="4" fillId="9" borderId="3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200" fontId="4" fillId="10" borderId="2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200" fontId="4" fillId="10" borderId="3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/>
    <x:xf numFmtId="0" fontId="4" fillId="7" borderId="10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1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4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4" xfId="0" applyNumberFormat="1" applyFont="1" applyFill="1" applyBorder="1" applyAlignment="1">
      <x:alignment horizontal="center"/>
    </x:xf>
    <x:xf numFmtId="0" fontId="7" fillId="9" borderId="6" xfId="0" applyNumberFormat="1" applyFont="1" applyFill="1" applyBorder="1" applyAlignment="1">
      <x:alignment horizontal="center"/>
    </x:xf>
    <x:xf numFmtId="0" fontId="7" fillId="9" borderId="7" xfId="0" applyNumberFormat="1" applyFont="1" applyFill="1" applyBorder="1" applyAlignment="1">
      <x:alignment horizontal="center"/>
    </x:xf>
    <x:xf numFmtId="0" fontId="7" fillId="9" borderId="8" xfId="0" applyNumberFormat="1" applyFont="1" applyFill="1" applyBorder="1" applyAlignment="1">
      <x:alignment horizontal="center"/>
    </x:xf>
    <x:xf numFmtId="0" fontId="7" fillId="9" borderId="9" xfId="0" applyNumberFormat="1" applyFont="1" applyFill="1" applyBorder="1" applyAlignment="1">
      <x:alignment horizontal="center"/>
    </x:xf>
    <x:xf numFmtId="0" fontId="7" fillId="9" borderId="10" xfId="0" applyNumberFormat="1" applyFont="1" applyFill="1" applyBorder="1" applyAlignment="1">
      <x:alignment horizontal="center"/>
    </x:xf>
    <x:xf numFmtId="0" fontId="7" fillId="9" borderId="4" xfId="0" applyNumberFormat="1" applyFont="1" applyFill="1" applyBorder="1" applyAlignment="1">
      <x:alignment horizontal="center" vertical="center"/>
    </x:xf>
    <x:xf numFmtId="0" fontId="7" fillId="9" borderId="6" xfId="0" applyNumberFormat="1" applyFont="1" applyFill="1" applyBorder="1" applyAlignment="1">
      <x:alignment horizontal="center" vertical="center"/>
    </x:xf>
    <x:xf numFmtId="0" fontId="7" fillId="9" borderId="7" xfId="0" applyNumberFormat="1" applyFont="1" applyFill="1" applyBorder="1" applyAlignment="1">
      <x:alignment horizontal="center" vertical="center"/>
    </x:xf>
    <x:xf numFmtId="0" fontId="7" fillId="9" borderId="8" xfId="0" applyNumberFormat="1" applyFont="1" applyFill="1" applyBorder="1" applyAlignment="1">
      <x:alignment horizontal="center" vertical="center"/>
    </x:xf>
    <x:xf numFmtId="0" fontId="7" fillId="9" borderId="9" xfId="0" applyNumberFormat="1" applyFont="1" applyFill="1" applyBorder="1" applyAlignment="1">
      <x:alignment horizontal="center" vertical="center"/>
    </x:xf>
    <x:xf numFmtId="0" fontId="7" fillId="9" borderId="10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9" borderId="6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horizontal="center" vertical="center"/>
    </x:xf>
    <x:xf numFmtId="0" fontId="9" fillId="9" borderId="8" xfId="0" applyNumberFormat="1" applyFont="1" applyFill="1" applyBorder="1" applyAlignment="1">
      <x:alignment horizontal="center" vertical="center"/>
    </x:xf>
    <x:xf numFmtId="204" fontId="9" fillId="9" borderId="7" xfId="0" applyNumberFormat="1" applyFont="1" applyFill="1" applyBorder="1" applyAlignment="1">
      <x:alignment horizontal="center" vertical="center"/>
    </x:xf>
    <x:xf numFmtId="204" fontId="9" fillId="9" borderId="8" xfId="0" applyNumberFormat="1" applyFont="1" applyFill="1" applyBorder="1" applyAlignment="1">
      <x:alignment horizontal="center" vertical="center"/>
    </x:xf>
    <x:xf numFmtId="0" fontId="10" fillId="9" borderId="9" xfId="0" applyNumberFormat="1" applyFont="1" applyFill="1" applyBorder="1" applyAlignment="1">
      <x:alignment horizontal="center" vertical="center"/>
    </x:xf>
    <x:xf numFmtId="0" fontId="10" fillId="9" borderId="1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4" xfId="0" applyNumberFormat="1" applyFont="1" applyFill="1" applyBorder="1" applyAlignment="1">
      <x:alignment horizontal="center"/>
    </x:xf>
    <x:xf numFmtId="0" fontId="7" fillId="3" borderId="6" xfId="0" applyNumberFormat="1" applyFont="1" applyFill="1" applyBorder="1" applyAlignment="1">
      <x:alignment horizontal="center"/>
    </x:xf>
    <x:xf numFmtId="0" fontId="7" fillId="3" borderId="7" xfId="0" applyNumberFormat="1" applyFont="1" applyFill="1" applyBorder="1" applyAlignment="1">
      <x:alignment horizontal="center"/>
    </x:xf>
    <x:xf numFmtId="0" fontId="7" fillId="3" borderId="8" xfId="0" applyNumberFormat="1" applyFont="1" applyFill="1" applyBorder="1" applyAlignment="1">
      <x:alignment horizontal="center"/>
    </x:xf>
    <x:xf numFmtId="0" fontId="7" fillId="3" borderId="9" xfId="0" applyNumberFormat="1" applyFont="1" applyFill="1" applyBorder="1" applyAlignment="1">
      <x:alignment horizontal="center"/>
    </x:xf>
    <x:xf numFmtId="0" fontId="7" fillId="3" borderId="10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7" fillId="3" borderId="6" xfId="0" applyNumberFormat="1" applyFont="1" applyFill="1" applyBorder="1" applyAlignment="1">
      <x:alignment horizontal="center" vertical="center"/>
    </x:xf>
    <x:xf numFmtId="0" fontId="7" fillId="3" borderId="7" xfId="0" applyNumberFormat="1" applyFont="1" applyFill="1" applyBorder="1" applyAlignment="1">
      <x:alignment horizontal="center"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7" fillId="3" borderId="9" xfId="0" applyNumberFormat="1" applyFont="1" applyFill="1" applyBorder="1" applyAlignment="1">
      <x:alignment horizontal="center" vertical="center"/>
    </x:xf>
    <x:xf numFmtId="0" fontId="7" fillId="3" borderId="10" xfId="0" applyNumberFormat="1" applyFont="1" applyFill="1" applyBorder="1" applyAlignment="1">
      <x:alignment horizontal="center" vertic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8" fillId="3" borderId="6" xfId="0" applyNumberFormat="1" applyFont="1" applyFill="1" applyBorder="1" applyAlignment="1">
      <x:alignment horizontal="center" vertical="center"/>
    </x:xf>
    <x:xf numFmtId="0" fontId="9" fillId="3" borderId="7" xfId="0" applyNumberFormat="1" applyFont="1" applyFill="1" applyBorder="1" applyAlignment="1">
      <x:alignment horizontal="center" vertical="center"/>
    </x:xf>
    <x:xf numFmtId="0" fontId="9" fillId="3" borderId="8" xfId="0" applyNumberFormat="1" applyFont="1" applyFill="1" applyBorder="1" applyAlignment="1">
      <x:alignment horizontal="center" vertical="center"/>
    </x:xf>
    <x:xf numFmtId="204" fontId="9" fillId="3" borderId="7" xfId="0" applyNumberFormat="1" applyFont="1" applyFill="1" applyBorder="1" applyAlignment="1">
      <x:alignment horizontal="center" vertical="center"/>
    </x:xf>
    <x:xf numFmtId="204" fontId="9" fillId="3" borderId="8" xfId="0" applyNumberFormat="1" applyFont="1" applyFill="1" applyBorder="1" applyAlignment="1">
      <x:alignment horizontal="center" vertical="center"/>
    </x:xf>
    <x:xf numFmtId="0" fontId="10" fillId="3" borderId="9" xfId="0" applyNumberFormat="1" applyFont="1" applyFill="1" applyBorder="1" applyAlignment="1">
      <x:alignment horizontal="center" vertical="center"/>
    </x:xf>
    <x:xf numFmtId="0" fontId="10" fillId="3" borderId="1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4" xfId="0" applyNumberFormat="1" applyFont="1" applyFill="1" applyBorder="1"/>
    <x:xf numFmtId="0" fontId="7" fillId="11" borderId="6" xfId="0" applyNumberFormat="1" applyFont="1" applyFill="1" applyBorder="1"/>
    <x:xf numFmtId="0" fontId="7" fillId="11" borderId="7" xfId="0" applyNumberFormat="1" applyFont="1" applyFill="1" applyBorder="1"/>
    <x:xf numFmtId="0" fontId="7" fillId="11" borderId="8" xfId="0" applyNumberFormat="1" applyFont="1" applyFill="1" applyBorder="1"/>
    <x:xf numFmtId="0" fontId="7" fillId="11" borderId="9" xfId="0" applyNumberFormat="1" applyFont="1" applyFill="1" applyBorder="1"/>
    <x:xf numFmtId="0" fontId="7" fillId="11" borderId="10" xfId="0" applyNumberFormat="1" applyFont="1" applyFill="1" applyBorder="1"/>
    <x:xf numFmtId="0" fontId="7" fillId="11" borderId="4" xfId="0" applyNumberFormat="1" applyFont="1" applyFill="1" applyBorder="1" applyAlignment="1">
      <x:alignment horizontal="center"/>
    </x:xf>
    <x:xf numFmtId="0" fontId="7" fillId="11" borderId="6" xfId="0" applyNumberFormat="1" applyFont="1" applyFill="1" applyBorder="1" applyAlignment="1">
      <x:alignment horizontal="center"/>
    </x:xf>
    <x:xf numFmtId="0" fontId="7" fillId="11" borderId="7" xfId="0" applyNumberFormat="1" applyFont="1" applyFill="1" applyBorder="1" applyAlignment="1">
      <x:alignment horizontal="center"/>
    </x:xf>
    <x:xf numFmtId="0" fontId="7" fillId="11" borderId="8" xfId="0" applyNumberFormat="1" applyFont="1" applyFill="1" applyBorder="1" applyAlignment="1">
      <x:alignment horizontal="center"/>
    </x:xf>
    <x:xf numFmtId="0" fontId="7" fillId="11" borderId="9" xfId="0" applyNumberFormat="1" applyFont="1" applyFill="1" applyBorder="1" applyAlignment="1">
      <x:alignment horizontal="center"/>
    </x:xf>
    <x:xf numFmtId="0" fontId="7" fillId="11" borderId="10" xfId="0" applyNumberFormat="1" applyFont="1" applyFill="1" applyBorder="1" applyAlignment="1">
      <x:alignment horizontal="center"/>
    </x:xf>
    <x:xf numFmtId="0" fontId="7" fillId="11" borderId="4" xfId="0" applyNumberFormat="1" applyFont="1" applyFill="1" applyBorder="1" applyAlignment="1">
      <x:alignment horizontal="center" vertical="center"/>
    </x:xf>
    <x:xf numFmtId="0" fontId="7" fillId="11" borderId="6" xfId="0" applyNumberFormat="1" applyFont="1" applyFill="1" applyBorder="1" applyAlignment="1">
      <x:alignment horizontal="center" vertical="center"/>
    </x:xf>
    <x:xf numFmtId="0" fontId="7" fillId="11" borderId="7" xfId="0" applyNumberFormat="1" applyFont="1" applyFill="1" applyBorder="1" applyAlignment="1">
      <x:alignment horizontal="center" vertical="center"/>
    </x:xf>
    <x:xf numFmtId="0" fontId="7" fillId="11" borderId="8" xfId="0" applyNumberFormat="1" applyFont="1" applyFill="1" applyBorder="1" applyAlignment="1">
      <x:alignment horizontal="center" vertical="center"/>
    </x:xf>
    <x:xf numFmtId="0" fontId="7" fillId="11" borderId="9" xfId="0" applyNumberFormat="1" applyFont="1" applyFill="1" applyBorder="1" applyAlignment="1">
      <x:alignment horizontal="center" vertical="center"/>
    </x:xf>
    <x:xf numFmtId="0" fontId="7" fillId="11" borderId="10" xfId="0" applyNumberFormat="1" applyFont="1" applyFill="1" applyBorder="1" applyAlignment="1">
      <x:alignment horizontal="center" vertical="center"/>
    </x:xf>
    <x:xf numFmtId="0" fontId="8" fillId="11" borderId="4" xfId="0" applyNumberFormat="1" applyFont="1" applyFill="1" applyBorder="1" applyAlignment="1">
      <x:alignment horizontal="center" vertical="center"/>
    </x:xf>
    <x:xf numFmtId="0" fontId="8" fillId="11" borderId="6" xfId="0" applyNumberFormat="1" applyFont="1" applyFill="1" applyBorder="1" applyAlignment="1">
      <x:alignment horizontal="center" vertical="center"/>
    </x:xf>
    <x:xf numFmtId="0" fontId="9" fillId="11" borderId="7" xfId="0" applyNumberFormat="1" applyFont="1" applyFill="1" applyBorder="1" applyAlignment="1">
      <x:alignment horizontal="center" vertical="center"/>
    </x:xf>
    <x:xf numFmtId="0" fontId="9" fillId="11" borderId="8" xfId="0" applyNumberFormat="1" applyFont="1" applyFill="1" applyBorder="1" applyAlignment="1">
      <x:alignment horizontal="center" vertical="center"/>
    </x:xf>
    <x:xf numFmtId="204" fontId="9" fillId="11" borderId="7" xfId="0" applyNumberFormat="1" applyFont="1" applyFill="1" applyBorder="1" applyAlignment="1">
      <x:alignment horizontal="center" vertical="center"/>
    </x:xf>
    <x:xf numFmtId="204" fontId="9" fillId="11" borderId="8" xfId="0" applyNumberFormat="1" applyFont="1" applyFill="1" applyBorder="1" applyAlignment="1">
      <x:alignment horizontal="center" vertical="center"/>
    </x:xf>
    <x:xf numFmtId="0" fontId="10" fillId="11" borderId="9" xfId="0" applyNumberFormat="1" applyFont="1" applyFill="1" applyBorder="1" applyAlignment="1">
      <x:alignment horizontal="center" vertical="center"/>
    </x:xf>
    <x:xf numFmtId="0" fontId="10" fillId="11" borderId="1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4" xfId="0" applyNumberFormat="1" applyFont="1" applyFill="1" applyBorder="1"/>
    <x:xf numFmtId="0" fontId="7" fillId="12" borderId="6" xfId="0" applyNumberFormat="1" applyFont="1" applyFill="1" applyBorder="1"/>
    <x:xf numFmtId="0" fontId="7" fillId="12" borderId="7" xfId="0" applyNumberFormat="1" applyFont="1" applyFill="1" applyBorder="1"/>
    <x:xf numFmtId="0" fontId="7" fillId="12" borderId="8" xfId="0" applyNumberFormat="1" applyFont="1" applyFill="1" applyBorder="1"/>
    <x:xf numFmtId="0" fontId="7" fillId="12" borderId="9" xfId="0" applyNumberFormat="1" applyFont="1" applyFill="1" applyBorder="1"/>
    <x:xf numFmtId="0" fontId="7" fillId="12" borderId="10" xfId="0" applyNumberFormat="1" applyFont="1" applyFill="1" applyBorder="1"/>
    <x:xf numFmtId="0" fontId="7" fillId="12" borderId="4" xfId="0" applyNumberFormat="1" applyFont="1" applyFill="1" applyBorder="1" applyAlignment="1">
      <x:alignment horizontal="center"/>
    </x:xf>
    <x:xf numFmtId="0" fontId="7" fillId="12" borderId="6" xfId="0" applyNumberFormat="1" applyFont="1" applyFill="1" applyBorder="1" applyAlignment="1">
      <x:alignment horizontal="center"/>
    </x:xf>
    <x:xf numFmtId="0" fontId="7" fillId="12" borderId="7" xfId="0" applyNumberFormat="1" applyFont="1" applyFill="1" applyBorder="1" applyAlignment="1">
      <x:alignment horizontal="center"/>
    </x:xf>
    <x:xf numFmtId="0" fontId="7" fillId="12" borderId="8" xfId="0" applyNumberFormat="1" applyFont="1" applyFill="1" applyBorder="1" applyAlignment="1">
      <x:alignment horizontal="center"/>
    </x:xf>
    <x:xf numFmtId="0" fontId="7" fillId="12" borderId="9" xfId="0" applyNumberFormat="1" applyFont="1" applyFill="1" applyBorder="1" applyAlignment="1">
      <x:alignment horizontal="center"/>
    </x:xf>
    <x:xf numFmtId="0" fontId="7" fillId="12" borderId="10" xfId="0" applyNumberFormat="1" applyFont="1" applyFill="1" applyBorder="1" applyAlignment="1">
      <x:alignment horizontal="center"/>
    </x:xf>
    <x:xf numFmtId="0" fontId="7" fillId="12" borderId="4" xfId="0" applyNumberFormat="1" applyFont="1" applyFill="1" applyBorder="1" applyAlignment="1">
      <x:alignment horizontal="center" vertical="center"/>
    </x:xf>
    <x:xf numFmtId="0" fontId="7" fillId="12" borderId="6" xfId="0" applyNumberFormat="1" applyFont="1" applyFill="1" applyBorder="1" applyAlignment="1">
      <x:alignment horizontal="center" vertical="center"/>
    </x:xf>
    <x:xf numFmtId="0" fontId="7" fillId="12" borderId="7" xfId="0" applyNumberFormat="1" applyFont="1" applyFill="1" applyBorder="1" applyAlignment="1">
      <x:alignment horizontal="center" vertical="center"/>
    </x:xf>
    <x:xf numFmtId="0" fontId="7" fillId="12" borderId="8" xfId="0" applyNumberFormat="1" applyFont="1" applyFill="1" applyBorder="1" applyAlignment="1">
      <x:alignment horizontal="center" vertical="center"/>
    </x:xf>
    <x:xf numFmtId="0" fontId="7" fillId="12" borderId="9" xfId="0" applyNumberFormat="1" applyFont="1" applyFill="1" applyBorder="1" applyAlignment="1">
      <x:alignment horizontal="center" vertical="center"/>
    </x:xf>
    <x:xf numFmtId="0" fontId="7" fillId="12" borderId="10" xfId="0" applyNumberFormat="1" applyFont="1" applyFill="1" applyBorder="1" applyAlignment="1">
      <x:alignment horizontal="center" vertical="center"/>
    </x:xf>
    <x:xf numFmtId="0" fontId="8" fillId="12" borderId="4" xfId="0" applyNumberFormat="1" applyFont="1" applyFill="1" applyBorder="1" applyAlignment="1">
      <x:alignment horizontal="center" vertical="center"/>
    </x:xf>
    <x:xf numFmtId="0" fontId="8" fillId="12" borderId="6" xfId="0" applyNumberFormat="1" applyFont="1" applyFill="1" applyBorder="1" applyAlignment="1">
      <x:alignment horizontal="center" vertical="center"/>
    </x:xf>
    <x:xf numFmtId="0" fontId="9" fillId="12" borderId="7" xfId="0" applyNumberFormat="1" applyFont="1" applyFill="1" applyBorder="1" applyAlignment="1">
      <x:alignment horizontal="center" vertical="center"/>
    </x:xf>
    <x:xf numFmtId="0" fontId="9" fillId="12" borderId="8" xfId="0" applyNumberFormat="1" applyFont="1" applyFill="1" applyBorder="1" applyAlignment="1">
      <x:alignment horizontal="center" vertical="center"/>
    </x:xf>
    <x:xf numFmtId="205" fontId="9" fillId="12" borderId="7" xfId="0" applyNumberFormat="1" applyFont="1" applyFill="1" applyBorder="1" applyAlignment="1">
      <x:alignment horizontal="center" vertical="center"/>
    </x:xf>
    <x:xf numFmtId="205" fontId="9" fillId="12" borderId="8" xfId="0" applyNumberFormat="1" applyFont="1" applyFill="1" applyBorder="1" applyAlignment="1">
      <x:alignment horizontal="center" vertical="center"/>
    </x:xf>
    <x:xf numFmtId="0" fontId="10" fillId="12" borderId="9" xfId="0" applyNumberFormat="1" applyFont="1" applyFill="1" applyBorder="1" applyAlignment="1">
      <x:alignment horizontal="center" vertical="center"/>
    </x:xf>
    <x:xf numFmtId="0" fontId="10" fillId="12" borderId="1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4" xfId="0" applyNumberFormat="1" applyFont="1" applyFill="1" applyBorder="1"/>
    <x:xf numFmtId="0" fontId="7" fillId="13" borderId="6" xfId="0" applyNumberFormat="1" applyFont="1" applyFill="1" applyBorder="1"/>
    <x:xf numFmtId="0" fontId="7" fillId="13" borderId="7" xfId="0" applyNumberFormat="1" applyFont="1" applyFill="1" applyBorder="1"/>
    <x:xf numFmtId="0" fontId="7" fillId="13" borderId="8" xfId="0" applyNumberFormat="1" applyFont="1" applyFill="1" applyBorder="1"/>
    <x:xf numFmtId="0" fontId="7" fillId="13" borderId="9" xfId="0" applyNumberFormat="1" applyFont="1" applyFill="1" applyBorder="1"/>
    <x:xf numFmtId="0" fontId="7" fillId="13" borderId="10" xfId="0" applyNumberFormat="1" applyFont="1" applyFill="1" applyBorder="1"/>
    <x:xf numFmtId="0" fontId="7" fillId="13" borderId="4" xfId="0" applyNumberFormat="1" applyFont="1" applyFill="1" applyBorder="1" applyAlignment="1">
      <x:alignment horizontal="center"/>
    </x:xf>
    <x:xf numFmtId="0" fontId="7" fillId="13" borderId="6" xfId="0" applyNumberFormat="1" applyFont="1" applyFill="1" applyBorder="1" applyAlignment="1">
      <x:alignment horizontal="center"/>
    </x:xf>
    <x:xf numFmtId="0" fontId="7" fillId="13" borderId="7" xfId="0" applyNumberFormat="1" applyFont="1" applyFill="1" applyBorder="1" applyAlignment="1">
      <x:alignment horizontal="center"/>
    </x:xf>
    <x:xf numFmtId="0" fontId="7" fillId="13" borderId="8" xfId="0" applyNumberFormat="1" applyFont="1" applyFill="1" applyBorder="1" applyAlignment="1">
      <x:alignment horizontal="center"/>
    </x:xf>
    <x:xf numFmtId="0" fontId="7" fillId="13" borderId="9" xfId="0" applyNumberFormat="1" applyFont="1" applyFill="1" applyBorder="1" applyAlignment="1">
      <x:alignment horizontal="center"/>
    </x:xf>
    <x:xf numFmtId="0" fontId="7" fillId="13" borderId="10" xfId="0" applyNumberFormat="1" applyFont="1" applyFill="1" applyBorder="1" applyAlignment="1">
      <x:alignment horizontal="center"/>
    </x:xf>
    <x:xf numFmtId="0" fontId="7" fillId="13" borderId="4" xfId="0" applyNumberFormat="1" applyFont="1" applyFill="1" applyBorder="1" applyAlignment="1">
      <x:alignment horizontal="center" vertical="center"/>
    </x:xf>
    <x:xf numFmtId="0" fontId="7" fillId="13" borderId="6" xfId="0" applyNumberFormat="1" applyFont="1" applyFill="1" applyBorder="1" applyAlignment="1">
      <x:alignment horizontal="center" vertical="center"/>
    </x:xf>
    <x:xf numFmtId="0" fontId="7" fillId="13" borderId="7" xfId="0" applyNumberFormat="1" applyFont="1" applyFill="1" applyBorder="1" applyAlignment="1">
      <x:alignment horizontal="center" vertical="center"/>
    </x:xf>
    <x:xf numFmtId="0" fontId="7" fillId="13" borderId="8" xfId="0" applyNumberFormat="1" applyFont="1" applyFill="1" applyBorder="1" applyAlignment="1">
      <x:alignment horizontal="center" vertical="center"/>
    </x:xf>
    <x:xf numFmtId="0" fontId="7" fillId="13" borderId="9" xfId="0" applyNumberFormat="1" applyFont="1" applyFill="1" applyBorder="1" applyAlignment="1">
      <x:alignment horizontal="center" vertical="center"/>
    </x:xf>
    <x:xf numFmtId="0" fontId="7" fillId="13" borderId="10" xfId="0" applyNumberFormat="1" applyFont="1" applyFill="1" applyBorder="1" applyAlignment="1">
      <x:alignment horizontal="center" vertical="center"/>
    </x:xf>
    <x:xf numFmtId="0" fontId="8" fillId="13" borderId="4" xfId="0" applyNumberFormat="1" applyFont="1" applyFill="1" applyBorder="1" applyAlignment="1">
      <x:alignment horizontal="center" vertical="center"/>
    </x:xf>
    <x:xf numFmtId="0" fontId="8" fillId="13" borderId="6" xfId="0" applyNumberFormat="1" applyFont="1" applyFill="1" applyBorder="1" applyAlignment="1">
      <x:alignment horizontal="center" vertical="center"/>
    </x:xf>
    <x:xf numFmtId="0" fontId="9" fillId="13" borderId="7" xfId="0" applyNumberFormat="1" applyFont="1" applyFill="1" applyBorder="1" applyAlignment="1">
      <x:alignment horizontal="center" vertical="center"/>
    </x:xf>
    <x:xf numFmtId="0" fontId="9" fillId="13" borderId="8" xfId="0" applyNumberFormat="1" applyFont="1" applyFill="1" applyBorder="1" applyAlignment="1">
      <x:alignment horizontal="center" vertical="center"/>
    </x:xf>
    <x:xf numFmtId="204" fontId="9" fillId="13" borderId="7" xfId="0" applyNumberFormat="1" applyFont="1" applyFill="1" applyBorder="1" applyAlignment="1">
      <x:alignment horizontal="center" vertical="center"/>
    </x:xf>
    <x:xf numFmtId="204" fontId="9" fillId="13" borderId="8" xfId="0" applyNumberFormat="1" applyFont="1" applyFill="1" applyBorder="1" applyAlignment="1">
      <x:alignment horizontal="center" vertical="center"/>
    </x:xf>
    <x:xf numFmtId="0" fontId="10" fillId="13" borderId="9" xfId="0" applyNumberFormat="1" applyFont="1" applyFill="1" applyBorder="1" applyAlignment="1">
      <x:alignment horizontal="center" vertical="center"/>
    </x:xf>
    <x:xf numFmtId="0" fontId="10" fillId="13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4" xfId="0" applyNumberFormat="1" applyFont="1" applyFill="1" applyBorder="1" applyAlignment="1">
      <x:alignment horizontal="center"/>
    </x:xf>
    <x:xf numFmtId="0" fontId="7" fillId="8" borderId="6" xfId="0" applyNumberFormat="1" applyFont="1" applyFill="1" applyBorder="1" applyAlignment="1">
      <x:alignment horizontal="center"/>
    </x:xf>
    <x:xf numFmtId="0" fontId="7" fillId="8" borderId="7" xfId="0" applyNumberFormat="1" applyFont="1" applyFill="1" applyBorder="1" applyAlignment="1">
      <x:alignment horizontal="center"/>
    </x:xf>
    <x:xf numFmtId="0" fontId="7" fillId="8" borderId="8" xfId="0" applyNumberFormat="1" applyFont="1" applyFill="1" applyBorder="1" applyAlignment="1">
      <x:alignment horizontal="center"/>
    </x:xf>
    <x:xf numFmtId="0" fontId="7" fillId="8" borderId="9" xfId="0" applyNumberFormat="1" applyFont="1" applyFill="1" applyBorder="1" applyAlignment="1">
      <x:alignment horizontal="center"/>
    </x:xf>
    <x:xf numFmtId="0" fontId="7" fillId="8" borderId="10" xfId="0" applyNumberFormat="1" applyFont="1" applyFill="1" applyBorder="1" applyAlignment="1">
      <x:alignment horizont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7" fillId="8" borderId="7" xfId="0" applyNumberFormat="1" applyFont="1" applyFill="1" applyBorder="1" applyAlignment="1">
      <x:alignment horizontal="center" vertical="center"/>
    </x:xf>
    <x:xf numFmtId="0" fontId="7" fillId="8" borderId="8" xfId="0" applyNumberFormat="1" applyFont="1" applyFill="1" applyBorder="1" applyAlignment="1">
      <x:alignment horizontal="center" vertical="center"/>
    </x:xf>
    <x:xf numFmtId="0" fontId="7" fillId="8" borderId="9" xfId="0" applyNumberFormat="1" applyFont="1" applyFill="1" applyBorder="1" applyAlignment="1">
      <x:alignment horizontal="center" vertical="center"/>
    </x:xf>
    <x:xf numFmtId="0" fontId="7" fillId="8" borderId="10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9" fillId="8" borderId="7" xfId="0" applyNumberFormat="1" applyFont="1" applyFill="1" applyBorder="1" applyAlignment="1">
      <x:alignment horizontal="center" vertical="center"/>
    </x:xf>
    <x:xf numFmtId="0" fontId="9" fillId="8" borderId="8" xfId="0" applyNumberFormat="1" applyFont="1" applyFill="1" applyBorder="1" applyAlignment="1">
      <x:alignment horizontal="center" vertical="center"/>
    </x:xf>
    <x:xf numFmtId="206" fontId="9" fillId="8" borderId="7" xfId="0" applyNumberFormat="1" applyFont="1" applyFill="1" applyBorder="1" applyAlignment="1">
      <x:alignment horizontal="center" vertical="center"/>
    </x:xf>
    <x:xf numFmtId="206" fontId="9" fillId="8" borderId="8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2" xfId="0" applyNumberFormat="1" applyFont="1" applyFill="1" applyBorder="1"/>
    <x:xf numFmtId="0" fontId="2" fillId="7" borderId="10" xfId="0" applyNumberFormat="1" applyFont="1" applyFill="1" applyBorder="1"/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2" fillId="7" borderId="1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/>
    <x:xf numFmtId="0" fontId="2" fillId="10" borderId="5" xfId="0" applyNumberFormat="1" applyFont="1" applyFill="1" applyBorder="1"/>
    <x:xf numFmtId="0" fontId="2" fillId="10" borderId="6" xfId="0" applyNumberFormat="1" applyFont="1" applyFill="1" applyBorder="1"/>
    <x:xf numFmtId="0" fontId="2" fillId="10" borderId="7" xfId="0" applyNumberFormat="1" applyFont="1" applyFill="1" applyBorder="1"/>
    <x:xf numFmtId="0" fontId="2" fillId="10" borderId="8" xfId="0" applyNumberFormat="1" applyFont="1" applyFill="1" applyBorder="1"/>
    <x:xf numFmtId="0" fontId="2" fillId="10" borderId="9" xfId="0" applyNumberFormat="1" applyFont="1" applyFill="1" applyBorder="1"/>
    <x:xf numFmtId="0" fontId="2" fillId="10" borderId="2" xfId="0" applyNumberFormat="1" applyFont="1" applyFill="1" applyBorder="1"/>
    <x:xf numFmtId="0" fontId="2" fillId="10" borderId="1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wrapText="1"/>
    </x:xf>
    <x:xf numFmtId="0" fontId="2" fillId="10" borderId="6" xfId="0" applyNumberFormat="1" applyFont="1" applyFill="1" applyBorder="1" applyAlignment="1">
      <x:alignment wrapText="1"/>
    </x:xf>
    <x:xf numFmtId="0" fontId="2" fillId="10" borderId="7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2" fillId="10" borderId="6" xfId="0" applyNumberFormat="1" applyFont="1" applyFill="1" applyBorder="1" applyAlignment="1">
      <x:alignment vertical="top" wrapText="1"/>
    </x:xf>
    <x:xf numFmtId="0" fontId="2" fillId="10" borderId="7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vertical="top" wrapText="1"/>
    </x:xf>
    <x:xf numFmtId="0" fontId="2" fillId="10" borderId="9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2" fillId="10" borderId="10" xfId="0" applyNumberFormat="1" applyFont="1" applyFill="1" applyBorder="1" applyAlignment="1">
      <x:alignment vertical="top" wrapText="1"/>
    </x:xf>
    <x:xf numFmtId="207" fontId="4" fillId="0" borderId="2" xfId="0" applyNumberFormat="1" applyFont="1" applyFill="1" applyBorder="1" applyAlignment="1">
      <x:alignment vertical="center" wrapText="1"/>
    </x:xf>
    <x:xf numFmtId="207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204C70"/>
      </x:font>
      <x:fill>
        <x:patternFill patternType="solid">
          <x:bgColor rgb="FFDCEAF4"/>
        </x:patternFill>
      </x:fill>
    </x:dxf>
    <x:dxf>
      <x:font>
        <x:color rgb="FF204C70"/>
      </x:font>
      <x:fill>
        <x:patternFill patternType="solid">
          <x:bgColor rgb="FFE7EEF6"/>
        </x:patternFill>
      </x:fill>
    </x:dxf>
    <x:dxf>
      <x:font>
        <x:b/>
        <x:color rgb="FFD9773D"/>
      </x:font>
      <x:fill>
        <x:patternFill patternType="solid">
          <x:bgColor rgb="FFF8E3D7"/>
        </x:patternFill>
      </x:fill>
    </x:dxf>
    <x:dxf>
      <x:font>
        <x:color rgb="FFD9773D"/>
      </x:font>
      <x:fill>
        <x:patternFill patternType="solid">
          <x:bgColor rgb="FFFBEDE5"/>
        </x:patternFill>
      </x:fill>
    </x:dxf>
    <x:dxf>
      <x:font>
        <x:color rgb="FF64748B"/>
      </x:font>
      <x:fill>
        <x:patternFill patternType="solid">
          <x:bgColor rgb="FFE8EDF2"/>
        </x:patternFill>
      </x:fill>
    </x:dxf>
    <x:dxf>
      <x:font>
        <x:b/>
        <x:color rgb="FF204C70"/>
      </x:font>
      <x:fill>
        <x:patternFill patternType="solid">
          <x:bgColor rgb="FFDCEAF4"/>
        </x:patternFill>
      </x:fill>
    </x:dxf>
    <x:dxf>
      <x:font>
        <x:b/>
        <x:color rgb="FFD9773D"/>
      </x:font>
      <x:fill>
        <x:patternFill patternType="solid">
          <x:bgColor rgb="FFF8E3D7"/>
        </x:patternFill>
      </x:fill>
    </x:dxf>
    <x:dxf>
      <x:font>
        <x:color rgb="FF64748B"/>
      </x:font>
      <x:fill>
        <x:patternFill patternType="solid">
          <x:bgColor rgb="FFE8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76fe892514474" /><Relationship Type="http://schemas.openxmlformats.org/officeDocument/2006/relationships/theme" Target="/xl/theme/theme1.xml" Id="Rc7390ec1c0334c9a" /><Relationship Type="http://schemas.openxmlformats.org/officeDocument/2006/relationships/sharedStrings" Target="/xl/sharedStrings.xml" Id="Rcdccbdef061846c0" /><Relationship Type="http://schemas.openxmlformats.org/officeDocument/2006/relationships/worksheet" Target="/xl/worksheets/sheet1.xml" Id="Rf00ac9e8d8d64da9" /><Relationship Type="http://schemas.openxmlformats.org/officeDocument/2006/relationships/worksheet" Target="/xl/worksheets/sheet2.xml" Id="Rb7a325945c6f46bc" /><Relationship Type="http://schemas.openxmlformats.org/officeDocument/2006/relationships/worksheet" Target="/xl/worksheets/sheet3.xml" Id="R67f74465f6344235" /><Relationship Type="http://schemas.openxmlformats.org/officeDocument/2006/relationships/worksheet" Target="/xl/worksheets/sheet4.xml" Id="R46767b4df1bc45b9" /><Relationship Type="http://schemas.openxmlformats.org/officeDocument/2006/relationships/worksheet" Target="/xl/worksheets/sheet5.xml" Id="R561fd8d8d8db41d9" /><Relationship Type="http://schemas.openxmlformats.org/officeDocument/2006/relationships/worksheet" Target="/xl/worksheets/sheet6.xml" Id="R5de70603c7a54e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24dd9f8374401a" /><Relationship Type="http://schemas.openxmlformats.org/officeDocument/2006/relationships/chart" Target="/xl/drawings/charts/chart2.xml" Id="R1f0697238cca4e79" /><Relationship Type="http://schemas.openxmlformats.org/officeDocument/2006/relationships/chart" Target="/xl/drawings/charts/chart3.xml" Id="Rb0fb2cb2ed8945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综合信号（-2至+2）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信号分数</c:v>
          </c:tx>
          <c:spPr>
            <a:solidFill xmlns:a="http://schemas.openxmlformats.org/drawingml/2006/main">
              <a:srgbClr val="2F6B9A"/>
            </a:solidFill>
          </c:spPr>
          <c:cat>
            <c:strRef>
              <c:f>'历史数据'!$K$5:$K$9</c:f>
              <c:strCache>
                <c:ptCount val="0"/>
              </c:strCache>
            </c:strRef>
          </c:cat>
          <c:val>
            <c:numRef>
              <c:f>'历史数据'!$L$5:$L$9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2"/>
          <c:min val="-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全球白银市场平衡（吨）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市场平衡（吨）</c:v>
          </c:tx>
          <c:spPr>
            <a:solidFill xmlns:a="http://schemas.openxmlformats.org/drawingml/2006/main">
              <a:srgbClr val="D9773D"/>
            </a:solidFill>
          </c:spPr>
          <c:marker>
            <c:symbol val="none"/>
          </c:marker>
          <c:cat>
            <c:strRef>
              <c:f>'历史数据'!$A$5:$A$14</c:f>
              <c:strCache>
                <c:ptCount val="0"/>
              </c:strCache>
            </c:strRef>
          </c:cat>
          <c:val>
            <c:numRef>
              <c:f>'历史数据'!$B$5:$B$14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工业用银主要板块（吨）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光伏</c:v>
          </c:tx>
          <c:spPr>
            <a:solidFill xmlns:a="http://schemas.openxmlformats.org/drawingml/2006/main">
              <a:srgbClr val="C7952D"/>
            </a:solidFill>
          </c:spPr>
          <c:cat>
            <c:strRef>
              <c:f>'历史数据'!$E$5:$E$7</c:f>
              <c:strCache>
                <c:ptCount val="0"/>
              </c:strCache>
            </c:strRef>
          </c:cat>
          <c:val>
            <c:numRef>
              <c:f>'历史数据'!$F$5:$F$7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非光伏电气电子</c:v>
          </c:tx>
          <c:spPr>
            <a:solidFill xmlns:a="http://schemas.openxmlformats.org/drawingml/2006/main">
              <a:srgbClr val="2F6B9A"/>
            </a:solidFill>
          </c:spPr>
          <c:cat>
            <c:strRef>
              <c:f>'历史数据'!$E$5:$E$7</c:f>
              <c:strCache>
                <c:ptCount val="0"/>
              </c:strCache>
            </c:strRef>
          </c:cat>
          <c:val>
            <c:numRef>
              <c:f>'历史数据'!$G$5:$G$7</c:f>
              <c:numCache>
                <c:formatCode>#,##0.0</c:formatCode>
                <c:ptCount val="0"/>
              </c:numCache>
            </c:numRef>
          </c:val>
        </c:ser>
        <c:ser>
          <c:idx val="2"/>
          <c:order val="2"/>
          <c:tx>
            <c:v>钎焊合金与焊料</c:v>
          </c:tx>
          <c:spPr>
            <a:solidFill xmlns:a="http://schemas.openxmlformats.org/drawingml/2006/main">
              <a:srgbClr val="D9773D"/>
            </a:solidFill>
          </c:spPr>
          <c:cat>
            <c:strRef>
              <c:f>'历史数据'!$E$5:$E$7</c:f>
              <c:strCache>
                <c:ptCount val="0"/>
              </c:strCache>
            </c:strRef>
          </c:cat>
          <c:val>
            <c:numRef>
              <c:f>'历史数据'!$H$5:$H$7</c:f>
              <c:numCache>
                <c:formatCode>#,##0.0</c:formatCode>
                <c:ptCount val="0"/>
              </c:numCache>
            </c:numRef>
          </c:val>
        </c:ser>
        <c:ser>
          <c:idx val="3"/>
          <c:order val="3"/>
          <c:tx>
            <c:v>其他工业</c:v>
          </c:tx>
          <c:spPr>
            <a:solidFill xmlns:a="http://schemas.openxmlformats.org/drawingml/2006/main">
              <a:srgbClr val="7A8B52"/>
            </a:solidFill>
          </c:spPr>
          <c:cat>
            <c:strRef>
              <c:f>'历史数据'!$E$5:$E$7</c:f>
              <c:strCache>
                <c:ptCount val="0"/>
              </c:strCache>
            </c:strRef>
          </c:cat>
          <c:val>
            <c:numRef>
              <c:f>'历史数据'!$I$5:$I$7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24dd9f8374401a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0697238cca4e79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fb2cb2ed8945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983d109ef34f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0" customHeight="1">
      <x:c r="A1" s="4" t="str">
        <x:v>白银五项固定监测看板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8" t="str">
        <x:v>当前为第一版基线：公开权威数据已录入；高功率封装、AI出货、库存和租借利率等待数据源接入。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0" customHeight="1">
      <x:c r="A3" s="83" t="str">
        <x:v>更新日期：2026-07-19｜信号以正负号为准：正值=需求/紧张度增强，负值=减弱；色块用于分类，灰色=数据不足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20" customHeight="1"/>
    <x:row r="5" ht="20" customHeight="1">
      <x:c r="A5" s="104" t="str">
        <x:v>光伏用银</x:v>
      </x:c>
      <x:c r="B5" s="105"/>
      <x:c r="C5" s="131" t="str">
        <x:v>非光伏电气电子</x:v>
      </x:c>
      <x:c r="D5" s="132"/>
      <x:c r="E5" s="159" t="str">
        <x:v>银烧结材料</x:v>
      </x:c>
      <x:c r="F5" s="160"/>
      <x:c r="G5" s="187" t="str">
        <x:v>数据中心用电</x:v>
      </x:c>
      <x:c r="H5" s="188"/>
      <x:c r="I5" s="215" t="str">
        <x:v>全球市场平衡</x:v>
      </x:c>
      <x:c r="J5" s="216"/>
      <x:c r="K5" s="243" t="str">
        <x:v>数据覆盖</x:v>
      </x:c>
      <x:c r="L5" s="244"/>
    </x:row>
    <x:row r="6" ht="20" customHeight="1">
      <x:c r="A6" s="108" t="n">
        <x:f>'指标更新'!F5</x:f>
        <x:v>4696.6</x:v>
      </x:c>
      <x:c r="B6" s="109"/>
      <x:c r="C6" s="135" t="n">
        <x:f>'指标更新'!F8</x:f>
        <x:v>8457</x:v>
      </x:c>
      <x:c r="D6" s="136"/>
      <x:c r="E6" s="163" t="str">
        <x:f>IF('指标更新'!F12="","",'指标更新'!F12)</x:f>
      </x:c>
      <x:c r="F6" s="164"/>
      <x:c r="G6" s="191" t="n">
        <x:f>'指标更新'!F13</x:f>
        <x:v>485</x:v>
      </x:c>
      <x:c r="H6" s="192"/>
      <x:c r="I6" s="219" t="n">
        <x:f>'指标更新'!F18</x:f>
        <x:v>-1440.1</x:v>
      </x:c>
      <x:c r="J6" s="220"/>
      <x:c r="K6" s="247" t="str">
        <x:f>COUNT('指标更新'!F5:F21)&amp;"/17"</x:f>
        <x:v>9/17</x:v>
      </x:c>
      <x:c r="L6" s="248"/>
    </x:row>
    <x:row r="7" ht="20" customHeight="1">
      <x:c r="A7" s="108"/>
      <x:c r="B7" s="109"/>
      <x:c r="C7" s="135"/>
      <x:c r="D7" s="136"/>
      <x:c r="E7" s="163"/>
      <x:c r="F7" s="164"/>
      <x:c r="G7" s="191"/>
      <x:c r="H7" s="192"/>
      <x:c r="I7" s="219"/>
      <x:c r="J7" s="220"/>
      <x:c r="K7" s="247"/>
      <x:c r="L7" s="248"/>
    </x:row>
    <x:row r="8" ht="20" customHeight="1">
      <x:c r="A8" s="110" t="str">
        <x:f>'指标更新'!P5</x:f>
        <x:v>强利空</x:v>
      </x:c>
      <x:c r="B8" s="111"/>
      <x:c r="C8" s="137" t="str">
        <x:f>'指标更新'!P8</x:f>
        <x:v>强利多</x:v>
      </x:c>
      <x:c r="D8" s="138"/>
      <x:c r="E8" s="165" t="str">
        <x:f>'指标更新'!P12</x:f>
        <x:v>待接入</x:v>
      </x:c>
      <x:c r="F8" s="166"/>
      <x:c r="G8" s="193" t="str">
        <x:f>'指标更新'!P13</x:f>
        <x:v>仅有基线</x:v>
      </x:c>
      <x:c r="H8" s="194"/>
      <x:c r="I8" s="221" t="str">
        <x:f>'指标更新'!P18</x:f>
        <x:v>强利多</x:v>
      </x:c>
      <x:c r="J8" s="222"/>
      <x:c r="K8" s="249" t="str">
        <x:f>COUNTIF('指标更新'!Q5:Q21,"待接入")&amp;"项待接入"</x:f>
        <x:v>8项待接入</x:v>
      </x:c>
      <x:c r="L8" s="250"/>
    </x:row>
    <x:row r="9" ht="20" customHeight="1"/>
    <x:row r="10" ht="20" customHeight="1">
      <x:c r="A10" s="252" t="str">
        <x:v>五项监测综合信号</x:v>
      </x:c>
      <x:c r="B10" s="252"/>
      <x:c r="C10" s="252"/>
      <x:c r="D10" s="252"/>
      <x:c r="E10" s="252"/>
      <x:c r="F10" s="252"/>
      <x:c r="G10" s="252" t="str">
        <x:v>全球市场平衡历史</x:v>
      </x:c>
      <x:c r="H10" s="252"/>
      <x:c r="I10" s="252"/>
      <x:c r="J10" s="252"/>
      <x:c r="K10" s="252"/>
      <x:c r="L10" s="252"/>
    </x:row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>
      <x:c r="A28" s="251" t="str">
        <x:v>工业用银结构变化</x:v>
      </x:c>
      <x:c r="B28" s="251"/>
      <x:c r="C28" s="251"/>
      <x:c r="D28" s="251"/>
      <x:c r="E28" s="251"/>
      <x:c r="F28" s="251"/>
      <x:c r="G28" s="251" t="str">
        <x:v>本期行动清单</x:v>
      </x:c>
      <x:c r="H28" s="251"/>
      <x:c r="I28" s="251"/>
      <x:c r="J28" s="251"/>
      <x:c r="K28" s="251"/>
      <x:c r="L28" s="251"/>
    </x:row>
    <x:row r="29" ht="20" customHeight="1">
      <x:c r="G29" s="14" t="str">
        <x:v>主题</x:v>
      </x:c>
      <x:c r="H29" s="14" t="str">
        <x:v>当前状态</x:v>
      </x:c>
      <x:c r="I29" s="14" t="str">
        <x:v>数据状态</x:v>
      </x:c>
      <x:c r="J29" s="14" t="str">
        <x:v>频率</x:v>
      </x:c>
      <x:c r="K29" s="14" t="str">
        <x:v>下一步动作</x:v>
      </x:c>
      <x:c r="L29" s="14" t="str">
        <x:v>主要来源</x:v>
      </x:c>
    </x:row>
    <x:row r="30" ht="20" customHeight="1">
      <x:c r="G30" s="20" t="str">
        <x:v>光伏银耗</x:v>
      </x:c>
      <x:c r="H30" s="20" t="str">
        <x:f>'指标更新'!P5</x:f>
        <x:v>强利空</x:v>
      </x:c>
      <x:c r="I30" s="20" t="str">
        <x:v>已核实</x:v>
      </x:c>
      <x:c r="J30" s="20" t="str">
        <x:v>季度/年度</x:v>
      </x:c>
      <x:c r="K30" s="20" t="str">
        <x:v>补充各技术路线mg/W与装机数据</x:v>
      </x:c>
      <x:c r="L30" s="20" t="str">
        <x:v>WSS / IEA</x:v>
      </x:c>
    </x:row>
    <x:row r="31" ht="20" customHeight="1">
      <x:c r="G31" s="21" t="str">
        <x:v>非光伏电气电子</x:v>
      </x:c>
      <x:c r="H31" s="21" t="str">
        <x:f>'指标更新'!P8</x:f>
        <x:v>强利多</x:v>
      </x:c>
      <x:c r="I31" s="21" t="str">
        <x:v>已核实</x:v>
      </x:c>
      <x:c r="J31" s="21" t="str">
        <x:v>年度</x:v>
      </x:c>
      <x:c r="K31" s="21" t="str">
        <x:v>WSS发布后更新电气电子减光伏</x:v>
      </x:c>
      <x:c r="L31" s="21" t="str">
        <x:v>WSS</x:v>
      </x:c>
    </x:row>
    <x:row r="32" ht="20" customHeight="1">
      <x:c r="G32" s="21" t="str">
        <x:v>高功率封装</x:v>
      </x:c>
      <x:c r="H32" s="21" t="str">
        <x:f>'指标更新'!P12</x:f>
        <x:v>待接入</x:v>
      </x:c>
      <x:c r="I32" s="21" t="str">
        <x:v>待接入</x:v>
      </x:c>
      <x:c r="J32" s="21" t="str">
        <x:v>季度</x:v>
      </x:c>
      <x:c r="K32" s="21" t="str">
        <x:v>寻找SiC/IGBT及银烧结材料出货</x:v>
      </x:c>
      <x:c r="L32" s="21" t="str">
        <x:v>企业/行业数据库</x:v>
      </x:c>
    </x:row>
    <x:row r="33" ht="20" customHeight="1">
      <x:c r="G33" s="21" t="str">
        <x:v>AI物理基础设施</x:v>
      </x:c>
      <x:c r="H33" s="21" t="str">
        <x:f>'指标更新'!P13</x:f>
        <x:v>仅有基线</x:v>
      </x:c>
      <x:c r="I33" s="21" t="str">
        <x:v>仅有基线</x:v>
      </x:c>
      <x:c r="J33" s="21" t="str">
        <x:v>季度/年度</x:v>
      </x:c>
      <x:c r="K33" s="21" t="str">
        <x:v>接入服务器、IT容量与PDU/UPS订单</x:v>
      </x:c>
      <x:c r="L33" s="21" t="str">
        <x:v>IEA / 企业</x:v>
      </x:c>
    </x:row>
    <x:row r="34" ht="20" customHeight="1">
      <x:c r="G34" s="21" t="str">
        <x:v>供应与投资</x:v>
      </x:c>
      <x:c r="H34" s="21" t="str">
        <x:f>'指标更新'!P18</x:f>
        <x:v>强利多</x:v>
      </x:c>
      <x:c r="I34" s="21" t="str">
        <x:v>部分接入</x:v>
      </x:c>
      <x:c r="J34" s="21" t="str">
        <x:v>周度/月度</x:v>
      </x:c>
      <x:c r="K34" s="21" t="str">
        <x:v>接入库存、租借利率和ETP月度流</x:v>
      </x:c>
      <x:c r="L34" s="21" t="str">
        <x:v>WSS / 交易所</x:v>
      </x:c>
    </x:row>
    <x:row r="35" ht="20" customHeight="1"/>
    <x:row r="36" ht="20" customHeight="1">
      <x:c r="G36" s="52" t="str">
        <x:v>使用提醒</x:v>
      </x:c>
      <x:c r="H36" s="52"/>
      <x:c r="I36" s="52"/>
      <x:c r="J36" s="52"/>
      <x:c r="K36" s="52"/>
      <x:c r="L36" s="52"/>
    </x:row>
    <x:row r="37" ht="20" customHeight="1">
      <x:c r="G37" s="73" t="str">
        <x:v>• 先更新“指标更新”页中的蓝色输入单元格。
• 最新值和上期值齐全时，变动、信号和状态自动计算。
• AI与高功率封装暂无全球统一吨数，使用代理指标并保留数据状态。
• 市场平衡为负表示缺口；信号分数仅用于监测，不等同价格预测。</x:v>
      </x:c>
      <x:c r="H37" s="74"/>
      <x:c r="I37" s="74"/>
      <x:c r="J37" s="74"/>
      <x:c r="K37" s="74"/>
      <x:c r="L37" s="75"/>
    </x:row>
    <x:row r="38" ht="20" customHeight="1">
      <x:c r="G38" s="76"/>
      <x:c r="H38" s="77"/>
      <x:c r="I38" s="77"/>
      <x:c r="J38" s="77"/>
      <x:c r="K38" s="77"/>
      <x:c r="L38" s="78"/>
    </x:row>
    <x:row r="39" ht="20" customHeight="1">
      <x:c r="G39" s="76"/>
      <x:c r="H39" s="77"/>
      <x:c r="I39" s="77"/>
      <x:c r="J39" s="77"/>
      <x:c r="K39" s="77"/>
      <x:c r="L39" s="78"/>
    </x:row>
    <x:row r="40" ht="20" customHeight="1">
      <x:c r="G40" s="76"/>
      <x:c r="H40" s="77"/>
      <x:c r="I40" s="77"/>
      <x:c r="J40" s="77"/>
      <x:c r="K40" s="77"/>
      <x:c r="L40" s="78"/>
    </x:row>
    <x:row r="41" ht="20" customHeight="1">
      <x:c r="G41" s="76"/>
      <x:c r="H41" s="77"/>
      <x:c r="I41" s="77"/>
      <x:c r="J41" s="77"/>
      <x:c r="K41" s="77"/>
      <x:c r="L41" s="78"/>
    </x:row>
    <x:row r="42" ht="20" customHeight="1">
      <x:c r="G42" s="76"/>
      <x:c r="H42" s="77"/>
      <x:c r="I42" s="77"/>
      <x:c r="J42" s="77"/>
      <x:c r="K42" s="77"/>
      <x:c r="L42" s="78"/>
    </x:row>
    <x:row r="43" ht="20" customHeight="1">
      <x:c r="G43" s="79"/>
      <x:c r="H43" s="80"/>
      <x:c r="I43" s="80"/>
      <x:c r="J43" s="80"/>
      <x:c r="K43" s="80"/>
      <x:c r="L43" s="81"/>
    </x:row>
    <x:row r="44" ht="20" customHeight="1"/>
    <x:row r="45" ht="20" customHeight="1"/>
  </x:sheetData>
  <x:mergeCells>
    <x:mergeCell ref="A1:L1"/>
    <x:mergeCell ref="A2:L2"/>
    <x:mergeCell ref="A3:L3"/>
    <x:mergeCell ref="A5:B5"/>
    <x:mergeCell ref="A6:B7"/>
    <x:mergeCell ref="A8:B8"/>
    <x:mergeCell ref="C5:D5"/>
    <x:mergeCell ref="C6:D7"/>
    <x:mergeCell ref="C8:D8"/>
    <x:mergeCell ref="E5:F5"/>
    <x:mergeCell ref="E6:F7"/>
    <x:mergeCell ref="E8:F8"/>
    <x:mergeCell ref="G5:H5"/>
    <x:mergeCell ref="G6:H7"/>
    <x:mergeCell ref="G8:H8"/>
    <x:mergeCell ref="I5:J5"/>
    <x:mergeCell ref="I6:J7"/>
    <x:mergeCell ref="I8:J8"/>
    <x:mergeCell ref="K5:L5"/>
    <x:mergeCell ref="K6:L7"/>
    <x:mergeCell ref="K8:L8"/>
    <x:mergeCell ref="A10:F10"/>
    <x:mergeCell ref="G10:L10"/>
    <x:mergeCell ref="A28:F28"/>
    <x:mergeCell ref="G28:L28"/>
    <x:mergeCell ref="G36:L36"/>
    <x:mergeCell ref="G37:L43"/>
  </x:mergeCells>
  <x:conditionalFormatting sqref="H30:H34">
    <x:cfRule type="containsText" dxfId="5" priority="1" operator="containsText" text="利多"/>
    <x:cfRule type="containsText" dxfId="6" priority="2" operator="containsText" text="利空"/>
    <x:cfRule type="containsText" dxfId="7" priority="3" operator="containsText" text="待接入"/>
  </x:conditionalFormatting>
  <x:pageMargins left="0.7" right="0.7" top="0.75" bottom="0.75" header="0.3" footer="0.3"/>
  <x:drawing xmlns:r="http://schemas.openxmlformats.org/officeDocument/2006/relationships" r:id="R4a983d109ef34f8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6" customHeight="1">
      <x:c r="A1" s="4" t="str">
        <x:v>白银五项固定监测｜使用说明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这是一套可手工更新、可审计、可逐步自动化的产业监测工作簿。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253" t="str">
        <x:v>一、每次更新怎么做</x:v>
      </x:c>
      <x:c r="B4" s="253"/>
      <x:c r="C4" s="253"/>
      <x:c r="D4" s="253"/>
      <x:c r="E4" s="253"/>
      <x:c r="F4" s="253"/>
      <x:c r="G4" s="253"/>
      <x:c r="H4" s="253"/>
      <x:c r="I4" s="253"/>
      <x:c r="J4" s="253"/>
    </x:row>
    <x:row r="5">
      <x:c r="A5" s="272" t="str">
        <x:v>1. 打开“指标更新”页，只修改蓝色输入区域：最新期间、最新值、上期期间、上期值。
2. 核对来源URL和数据状态；没有数据时保持空白，不要填0。
3. 变动值、变动率、信号分数和状态会自动计算。
4. 需要保留时间序列时，将已核实数据追加到“历史数据”页。
5. 在“更新日志”登记来源、修改内容和复核人。</x:v>
      </x:c>
      <x:c r="B5" s="273"/>
      <x:c r="C5" s="273"/>
      <x:c r="D5" s="273"/>
      <x:c r="E5" s="273"/>
      <x:c r="F5" s="273"/>
      <x:c r="G5" s="273"/>
      <x:c r="H5" s="273"/>
      <x:c r="I5" s="273"/>
      <x:c r="J5" s="274"/>
    </x:row>
    <x:row r="6">
      <x:c r="A6" s="275"/>
      <x:c r="B6" s="276"/>
      <x:c r="C6" s="276"/>
      <x:c r="D6" s="276"/>
      <x:c r="E6" s="276"/>
      <x:c r="F6" s="276"/>
      <x:c r="G6" s="276"/>
      <x:c r="H6" s="276"/>
      <x:c r="I6" s="276"/>
      <x:c r="J6" s="277"/>
    </x:row>
    <x:row r="7">
      <x:c r="A7" s="275"/>
      <x:c r="B7" s="276"/>
      <x:c r="C7" s="276"/>
      <x:c r="D7" s="276"/>
      <x:c r="E7" s="276"/>
      <x:c r="F7" s="276"/>
      <x:c r="G7" s="276"/>
      <x:c r="H7" s="276"/>
      <x:c r="I7" s="276"/>
      <x:c r="J7" s="277"/>
    </x:row>
    <x:row r="8">
      <x:c r="A8" s="275"/>
      <x:c r="B8" s="276"/>
      <x:c r="C8" s="276"/>
      <x:c r="D8" s="276"/>
      <x:c r="E8" s="276"/>
      <x:c r="F8" s="276"/>
      <x:c r="G8" s="276"/>
      <x:c r="H8" s="276"/>
      <x:c r="I8" s="276"/>
      <x:c r="J8" s="277"/>
    </x:row>
    <x:row r="9">
      <x:c r="A9" s="275"/>
      <x:c r="B9" s="276"/>
      <x:c r="C9" s="276"/>
      <x:c r="D9" s="276"/>
      <x:c r="E9" s="276"/>
      <x:c r="F9" s="276"/>
      <x:c r="G9" s="276"/>
      <x:c r="H9" s="276"/>
      <x:c r="I9" s="276"/>
      <x:c r="J9" s="277"/>
    </x:row>
    <x:row r="10">
      <x:c r="A10" s="278"/>
      <x:c r="B10" s="279"/>
      <x:c r="C10" s="279"/>
      <x:c r="D10" s="279"/>
      <x:c r="E10" s="279"/>
      <x:c r="F10" s="279"/>
      <x:c r="G10" s="279"/>
      <x:c r="H10" s="279"/>
      <x:c r="I10" s="279"/>
      <x:c r="J10" s="280"/>
    </x:row>
    <x:row r="12">
      <x:c r="A12" s="253" t="str">
        <x:v>二、建议更新节奏</x:v>
      </x:c>
      <x:c r="B12" s="253"/>
      <x:c r="C12" s="253"/>
      <x:c r="D12" s="253"/>
      <x:c r="E12" s="253"/>
      <x:c r="F12" s="253"/>
      <x:c r="G12" s="253"/>
      <x:c r="H12" s="253"/>
      <x:c r="I12" s="253"/>
      <x:c r="J12" s="253"/>
    </x:row>
    <x:row r="13" ht="34" customHeight="1">
      <x:c r="A13" s="14" t="str">
        <x:v>频率</x:v>
      </x:c>
      <x:c r="B13" s="14" t="str">
        <x:v>监测内容</x:v>
      </x:c>
      <x:c r="C13" s="14" t="str">
        <x:v>建议动作</x:v>
      </x:c>
      <x:c r="D13" s="14" t="str">
        <x:v>核心来源</x:v>
      </x:c>
      <x:c r="E13" s="14"/>
      <x:c r="F13" s="14"/>
      <x:c r="G13" s="14"/>
      <x:c r="H13" s="14"/>
      <x:c r="I13" s="14"/>
      <x:c r="J13" s="14"/>
    </x:row>
    <x:row r="14" ht="34" customHeight="1">
      <x:c r="A14" s="20" t="str">
        <x:v>周度/月度</x:v>
      </x:c>
      <x:c r="B14" s="20" t="str">
        <x:v>ETP流、交易所库存、租借利率</x:v>
      </x:c>
      <x:c r="C14" s="20" t="str">
        <x:v>检查现货流动性与投资资金方向</x:v>
      </x:c>
      <x:c r="D14" s="20" t="str">
        <x:v>交易所、LBMA、ETF公告</x:v>
      </x:c>
      <x:c r="E14" s="20"/>
      <x:c r="F14" s="20"/>
      <x:c r="G14" s="20"/>
      <x:c r="H14" s="20"/>
      <x:c r="I14" s="20"/>
      <x:c r="J14" s="20"/>
    </x:row>
    <x:row r="15" ht="34" customHeight="1">
      <x:c r="A15" s="21" t="str">
        <x:v>季度</x:v>
      </x:c>
      <x:c r="B15" s="21" t="str">
        <x:v>光伏mg/W、SiC/IGBT、AI服务器、数据中心容量</x:v>
      </x:c>
      <x:c r="C15" s="21" t="str">
        <x:v>更新代理指标并记录来源口径</x:v>
      </x:c>
      <x:c r="D15" s="21" t="str">
        <x:v>企业公告、行业数据库、IEA</x:v>
      </x:c>
      <x:c r="E15" s="21"/>
      <x:c r="F15" s="21"/>
      <x:c r="G15" s="21"/>
      <x:c r="H15" s="21"/>
      <x:c r="I15" s="21"/>
      <x:c r="J15" s="21"/>
    </x:row>
    <x:row r="16" ht="34" customHeight="1">
      <x:c r="A16" s="21" t="str">
        <x:v>年度</x:v>
      </x:c>
      <x:c r="B16" s="21" t="str">
        <x:v>WSS全球供需、工业需求、矿山与再生银</x:v>
      </x:c>
      <x:c r="C16" s="21" t="str">
        <x:v>重置年度基线与阈值</x:v>
      </x:c>
      <x:c r="D16" s="21" t="str">
        <x:v>Silver Institute / Metals Focus</x:v>
      </x:c>
      <x:c r="E16" s="21"/>
      <x:c r="F16" s="21"/>
      <x:c r="G16" s="21"/>
      <x:c r="H16" s="21"/>
      <x:c r="I16" s="21"/>
      <x:c r="J16" s="21"/>
    </x:row>
    <x:row r="18">
      <x:c r="A18" s="253" t="str">
        <x:v>三、信号如何解释</x:v>
      </x:c>
      <x:c r="B18" s="253"/>
      <x:c r="C18" s="253"/>
      <x:c r="D18" s="253"/>
      <x:c r="E18" s="253"/>
      <x:c r="F18" s="253"/>
      <x:c r="G18" s="253"/>
      <x:c r="H18" s="253"/>
      <x:c r="I18" s="253"/>
      <x:c r="J18" s="253"/>
    </x:row>
    <x:row r="19">
      <x:c r="A19" s="300" t="str">
        <x:v>+2 强利多：白银需求增强、供应收缩或流动性显著趋紧。
+1 偏利多：方向有利，但尚未越过强信号阈值。
0 中性/数据不足：没有明显变化，或只有基线、缺少上期数据。
−1 偏利空：需求或紧张度温和减弱。
−2 强利空：需求显著下降、供应明显增加或流动性明显宽松。
注意：信号用于产业监测，不是银价预测，也不能把交叉行业吨数直接相加。</x:v>
      </x:c>
      <x:c r="B19" s="301"/>
      <x:c r="C19" s="301"/>
      <x:c r="D19" s="301"/>
      <x:c r="E19" s="301"/>
      <x:c r="F19" s="301"/>
      <x:c r="G19" s="301"/>
      <x:c r="H19" s="301"/>
      <x:c r="I19" s="301"/>
      <x:c r="J19" s="302"/>
    </x:row>
    <x:row r="20">
      <x:c r="A20" s="303"/>
      <x:c r="B20" s="304"/>
      <x:c r="C20" s="304"/>
      <x:c r="D20" s="304"/>
      <x:c r="E20" s="304"/>
      <x:c r="F20" s="304"/>
      <x:c r="G20" s="304"/>
      <x:c r="H20" s="304"/>
      <x:c r="I20" s="304"/>
      <x:c r="J20" s="305"/>
    </x:row>
    <x:row r="21">
      <x:c r="A21" s="303"/>
      <x:c r="B21" s="304"/>
      <x:c r="C21" s="304"/>
      <x:c r="D21" s="304"/>
      <x:c r="E21" s="304"/>
      <x:c r="F21" s="304"/>
      <x:c r="G21" s="304"/>
      <x:c r="H21" s="304"/>
      <x:c r="I21" s="304"/>
      <x:c r="J21" s="305"/>
    </x:row>
    <x:row r="22">
      <x:c r="A22" s="303"/>
      <x:c r="B22" s="304"/>
      <x:c r="C22" s="304"/>
      <x:c r="D22" s="304"/>
      <x:c r="E22" s="304"/>
      <x:c r="F22" s="304"/>
      <x:c r="G22" s="304"/>
      <x:c r="H22" s="304"/>
      <x:c r="I22" s="304"/>
      <x:c r="J22" s="305"/>
    </x:row>
    <x:row r="23">
      <x:c r="A23" s="303"/>
      <x:c r="B23" s="304"/>
      <x:c r="C23" s="304"/>
      <x:c r="D23" s="304"/>
      <x:c r="E23" s="304"/>
      <x:c r="F23" s="304"/>
      <x:c r="G23" s="304"/>
      <x:c r="H23" s="304"/>
      <x:c r="I23" s="304"/>
      <x:c r="J23" s="305"/>
    </x:row>
    <x:row r="24">
      <x:c r="A24" s="306"/>
      <x:c r="B24" s="307"/>
      <x:c r="C24" s="307"/>
      <x:c r="D24" s="307"/>
      <x:c r="E24" s="307"/>
      <x:c r="F24" s="307"/>
      <x:c r="G24" s="307"/>
      <x:c r="H24" s="307"/>
      <x:c r="I24" s="307"/>
      <x:c r="J24" s="308"/>
    </x:row>
  </x:sheetData>
  <x:mergeCells>
    <x:mergeCell ref="A1:J1"/>
    <x:mergeCell ref="A2:J2"/>
    <x:mergeCell ref="A4:J4"/>
    <x:mergeCell ref="A5:J10"/>
    <x:mergeCell ref="A12:J12"/>
    <x:mergeCell ref="B13:D13"/>
    <x:mergeCell ref="E13:H13"/>
    <x:mergeCell ref="I13:J13"/>
    <x:mergeCell ref="B14:D14"/>
    <x:mergeCell ref="E14:H14"/>
    <x:mergeCell ref="I14:J14"/>
    <x:mergeCell ref="B15:D15"/>
    <x:mergeCell ref="E15:H15"/>
    <x:mergeCell ref="I15:J15"/>
    <x:mergeCell ref="B16:D16"/>
    <x:mergeCell ref="E16:H16"/>
    <x:mergeCell ref="I16:J16"/>
    <x:mergeCell ref="A18:J18"/>
    <x:mergeCell ref="A19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3" hidden="0" customWidth="1"/>
    <x:col min="4" max="4" width="28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3" hidden="0" customWidth="1"/>
    <x:col min="10" max="10" width="12" hidden="0" customWidth="1"/>
    <x:col min="11" max="11" width="10" hidden="0" customWidth="1"/>
    <x:col min="12" max="12" width="14" hidden="0" customWidth="1"/>
    <x:col min="13" max="13" width="14" hidden="0" customWidth="1"/>
    <x:col min="14" max="14" width="14" hidden="0" customWidth="1"/>
    <x:col min="15" max="15" width="10" hidden="0" customWidth="1"/>
    <x:col min="16" max="16" width="12" hidden="0" customWidth="1"/>
    <x:col min="17" max="17" width="12" hidden="0" customWidth="1"/>
    <x:col min="18" max="18" width="13" hidden="0" customWidth="1"/>
    <x:col min="19" max="19" width="42" hidden="0" customWidth="1"/>
    <x:col min="20" max="20" width="52" hidden="0" customWidth="1"/>
  </x:cols>
  <x:sheetData>
    <x:row r="1" ht="36" customHeight="1">
      <x:c r="A1" s="4" t="str">
        <x:v>白银五项固定监测｜指标更新区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0" customHeight="1">
      <x:c r="A2" s="8" t="str">
        <x:v>蓝色单元格为人工更新输入；灰色列由公式自动计算。未知数据必须留空，不要用0代替。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>
      <x:c r="A4" s="14" t="str">
        <x:v>编号</x:v>
      </x:c>
      <x:c r="B4" s="14" t="str">
        <x:v>监测主题</x:v>
      </x:c>
      <x:c r="C4" s="14" t="str">
        <x:v>指标角色</x:v>
      </x:c>
      <x:c r="D4" s="14" t="str">
        <x:v>指标名称</x:v>
      </x:c>
      <x:c r="E4" s="14" t="str">
        <x:v>最新期间</x:v>
      </x:c>
      <x:c r="F4" s="14" t="str">
        <x:v>最新值</x:v>
      </x:c>
      <x:c r="G4" s="14" t="str">
        <x:v>上期期间</x:v>
      </x:c>
      <x:c r="H4" s="14" t="str">
        <x:v>上期值</x:v>
      </x:c>
      <x:c r="I4" s="14" t="str">
        <x:v>变动值</x:v>
      </x:c>
      <x:c r="J4" s="14" t="str">
        <x:v>变动率</x:v>
      </x:c>
      <x:c r="K4" s="14" t="str">
        <x:v>单位</x:v>
      </x:c>
      <x:c r="L4" s="14" t="str">
        <x:v>利多方向</x:v>
      </x:c>
      <x:c r="M4" s="14" t="str">
        <x:v>强信号上阈值</x:v>
      </x:c>
      <x:c r="N4" s="14" t="str">
        <x:v>强信号下阈值</x:v>
      </x:c>
      <x:c r="O4" s="14" t="str">
        <x:v>信号分数</x:v>
      </x:c>
      <x:c r="P4" s="14" t="str">
        <x:v>状态</x:v>
      </x:c>
      <x:c r="Q4" s="14" t="str">
        <x:v>数据状态</x:v>
      </x:c>
      <x:c r="R4" s="14" t="str">
        <x:v>更新频率</x:v>
      </x:c>
      <x:c r="S4" s="14" t="str">
        <x:v>来源URL</x:v>
      </x:c>
      <x:c r="T4" s="14" t="str">
        <x:v>说明</x:v>
      </x:c>
    </x:row>
    <x:row r="5" ht="36" customHeight="1">
      <x:c r="A5" s="20" t="n">
        <x:v>1</x:v>
      </x:c>
      <x:c r="B5" s="20" t="str">
        <x:v>光伏银耗</x:v>
      </x:c>
      <x:c r="C5" s="20" t="str">
        <x:v>主指标</x:v>
      </x:c>
      <x:c r="D5" s="20" t="str">
        <x:v>全球光伏用银量</x:v>
      </x:c>
      <x:c r="E5" s="22" t="str">
        <x:v>2026F</x:v>
      </x:c>
      <x:c r="F5" s="30" t="n">
        <x:v>4696.6</x:v>
      </x:c>
      <x:c r="G5" s="22" t="str">
        <x:v>2025A</x:v>
      </x:c>
      <x:c r="H5" s="30" t="n">
        <x:v>5803.9</x:v>
      </x:c>
      <x:c r="I5" s="32" t="n">
        <x:f>IF(OR(F5="",H5=""),"",F5-H5)</x:f>
        <x:v>-1107.2999999999993</x:v>
      </x:c>
      <x:c r="J5" s="34" t="n">
        <x:f>IF(OR(F5="",H5="",H5=0),"",F5/H5-1)</x:f>
        <x:v>-0.19078550629748947</x:v>
      </x:c>
      <x:c r="K5" s="20" t="str">
        <x:v>吨</x:v>
      </x:c>
      <x:c r="L5" s="20" t="str">
        <x:v>越高越利多</x:v>
      </x:c>
      <x:c r="M5" s="36" t="n">
        <x:v>300</x:v>
      </x:c>
      <x:c r="N5" s="36" t="n">
        <x:v>-300</x:v>
      </x:c>
      <x:c r="O5" s="38" t="n">
        <x:f>IF(OR(F5="",H5=""),0,IF(L5="越高越利多",IF(I5&gt;=M5,2,IF(I5&lt;=N5,-2,IF(I5&gt;0,1,IF(I5&lt;0,-1,0)))),IF(I5&lt;=N5,2,IF(I5&gt;=M5,-2,IF(I5&lt;0,1,IF(I5&gt;0,-1,0))))))</x:f>
        <x:v>-2</x:v>
      </x:c>
      <x:c r="P5" s="28" t="str">
        <x:f>IF(F5="","待接入",IF(H5="","仅有基线",IF(O5=2,"强利多",IF(O5=1,"偏利多",IF(O5=-1,"偏利空",IF(O5=-2,"强利空","中性"))))))</x:f>
        <x:v>强利空</x:v>
      </x:c>
      <x:c r="Q5" s="20" t="str">
        <x:v>已核实</x:v>
      </x:c>
      <x:c r="R5" s="20" t="str">
        <x:v>年度</x:v>
      </x:c>
      <x:c r="S5" s="20" t="str">
        <x:v>https://silverinstitute.org/wp-content/uploads/2026/04/World-Silver-Survey-2026.pdf</x:v>
      </x:c>
      <x:c r="T5" s="20" t="str">
        <x:v>装机增长与单位降银的合成结果；2026同比约-19.1%</x:v>
      </x:c>
    </x:row>
    <x:row r="6" ht="36" customHeight="1">
      <x:c r="A6" s="21" t="n">
        <x:v>2</x:v>
      </x:c>
      <x:c r="B6" s="21" t="str">
        <x:v>光伏银耗</x:v>
      </x:c>
      <x:c r="C6" s="21" t="str">
        <x:v>驱动</x:v>
      </x:c>
      <x:c r="D6" s="21" t="str">
        <x:v>电池平均单位银耗</x:v>
      </x:c>
      <x:c r="E6" s="23"/>
      <x:c r="F6" s="31"/>
      <x:c r="G6" s="23"/>
      <x:c r="H6" s="31"/>
      <x:c r="I6" s="33" t="str">
        <x:f>IF(OR(F6="",H6=""),"",F6-H6)</x:f>
      </x:c>
      <x:c r="J6" s="35" t="str">
        <x:f>IF(OR(F6="",H6="",H6=0),"",F6/H6-1)</x:f>
      </x:c>
      <x:c r="K6" s="21" t="str">
        <x:v>mg/W</x:v>
      </x:c>
      <x:c r="L6" s="21" t="str">
        <x:v>越高越利多</x:v>
      </x:c>
      <x:c r="M6" s="37" t="n">
        <x:v>0.3</x:v>
      </x:c>
      <x:c r="N6" s="37" t="n">
        <x:v>-0.3</x:v>
      </x:c>
      <x:c r="O6" s="39" t="n">
        <x:f>IF(OR(F6="",H6=""),0,IF(L6="越高越利多",IF(I6&gt;=M6,2,IF(I6&lt;=N6,-2,IF(I6&gt;0,1,IF(I6&lt;0,-1,0)))),IF(I6&lt;=N6,2,IF(I6&gt;=M6,-2,IF(I6&lt;0,1,IF(I6&gt;0,-1,0))))))</x:f>
        <x:v>0</x:v>
      </x:c>
      <x:c r="P6" s="29" t="str">
        <x:f>IF(F6="","待接入",IF(H6="","仅有基线",IF(O6=2,"强利多",IF(O6=1,"偏利多",IF(O6=-1,"偏利空",IF(O6=-2,"强利空","中性"))))))</x:f>
        <x:v>待接入</x:v>
      </x:c>
      <x:c r="Q6" s="21" t="str">
        <x:v>待接入</x:v>
      </x:c>
      <x:c r="R6" s="21" t="str">
        <x:v>季度</x:v>
      </x:c>
      <x:c r="S6" s="21" t="str">
        <x:v>https://silverinstitute.org/wp-content/uploads/2026/04/World-Silver-Survey-2026.pdf</x:v>
      </x:c>
      <x:c r="T6" s="21" t="str">
        <x:v>按TOPCon、HJT、BC路线分别更新；WSS提示2027年主流可能低于5 mg/W</x:v>
      </x:c>
    </x:row>
    <x:row r="7" ht="36" customHeight="1">
      <x:c r="A7" s="21" t="n">
        <x:v>3</x:v>
      </x:c>
      <x:c r="B7" s="21" t="str">
        <x:v>光伏银耗</x:v>
      </x:c>
      <x:c r="C7" s="21" t="str">
        <x:v>驱动</x:v>
      </x:c>
      <x:c r="D7" s="21" t="str">
        <x:v>全球新增光伏装机</x:v>
      </x:c>
      <x:c r="E7" s="23"/>
      <x:c r="F7" s="31"/>
      <x:c r="G7" s="23"/>
      <x:c r="H7" s="31"/>
      <x:c r="I7" s="33" t="str">
        <x:f>IF(OR(F7="",H7=""),"",F7-H7)</x:f>
      </x:c>
      <x:c r="J7" s="35" t="str">
        <x:f>IF(OR(F7="",H7="",H7=0),"",F7/H7-1)</x:f>
      </x:c>
      <x:c r="K7" s="21" t="str">
        <x:v>GW</x:v>
      </x:c>
      <x:c r="L7" s="21" t="str">
        <x:v>越高越利多</x:v>
      </x:c>
      <x:c r="M7" s="37" t="n">
        <x:v>20</x:v>
      </x:c>
      <x:c r="N7" s="37" t="n">
        <x:v>-20</x:v>
      </x:c>
      <x:c r="O7" s="39" t="n">
        <x:f>IF(OR(F7="",H7=""),0,IF(L7="越高越利多",IF(I7&gt;=M7,2,IF(I7&lt;=N7,-2,IF(I7&gt;0,1,IF(I7&lt;0,-1,0)))),IF(I7&lt;=N7,2,IF(I7&gt;=M7,-2,IF(I7&lt;0,1,IF(I7&gt;0,-1,0))))))</x:f>
        <x:v>0</x:v>
      </x:c>
      <x:c r="P7" s="29" t="str">
        <x:f>IF(F7="","待接入",IF(H7="","仅有基线",IF(O7=2,"强利多",IF(O7=1,"偏利多",IF(O7=-1,"偏利空",IF(O7=-2,"强利空","中性"))))))</x:f>
        <x:v>待接入</x:v>
      </x:c>
      <x:c r="Q7" s="21" t="str">
        <x:v>待接入</x:v>
      </x:c>
      <x:c r="R7" s="21" t="str">
        <x:v>季度/年度</x:v>
      </x:c>
      <x:c r="S7" s="21" t="str">
        <x:v>https://www.iea.org/reports/renewables-2025/executive-summary</x:v>
      </x:c>
      <x:c r="T7" s="21" t="str">
        <x:v>需与单位银耗联合解读，不能单独外推白银需求</x:v>
      </x:c>
    </x:row>
    <x:row r="8" ht="36" customHeight="1">
      <x:c r="A8" s="21" t="n">
        <x:v>4</x:v>
      </x:c>
      <x:c r="B8" s="21" t="str">
        <x:v>非光伏电气电子</x:v>
      </x:c>
      <x:c r="C8" s="21" t="str">
        <x:v>主指标</x:v>
      </x:c>
      <x:c r="D8" s="21" t="str">
        <x:v>非光伏电气电子用银</x:v>
      </x:c>
      <x:c r="E8" s="23" t="str">
        <x:v>2026F</x:v>
      </x:c>
      <x:c r="F8" s="31" t="n">
        <x:v>8457</x:v>
      </x:c>
      <x:c r="G8" s="23" t="str">
        <x:v>2025A</x:v>
      </x:c>
      <x:c r="H8" s="31" t="n">
        <x:v>8177.1</x:v>
      </x:c>
      <x:c r="I8" s="33" t="n">
        <x:f>IF(OR(F8="",H8=""),"",F8-H8)</x:f>
        <x:v>279.89999999999964</x:v>
      </x:c>
      <x:c r="J8" s="35" t="n">
        <x:f>IF(OR(F8="",H8="",H8=0),"",F8/H8-1)</x:f>
        <x:v>0.03422973914957628</x:v>
      </x:c>
      <x:c r="K8" s="21" t="str">
        <x:v>吨</x:v>
      </x:c>
      <x:c r="L8" s="21" t="str">
        <x:v>越高越利多</x:v>
      </x:c>
      <x:c r="M8" s="37" t="n">
        <x:v>200</x:v>
      </x:c>
      <x:c r="N8" s="37" t="n">
        <x:v>-200</x:v>
      </x:c>
      <x:c r="O8" s="39" t="n">
        <x:f>IF(OR(F8="",H8=""),0,IF(L8="越高越利多",IF(I8&gt;=M8,2,IF(I8&lt;=N8,-2,IF(I8&gt;0,1,IF(I8&lt;0,-1,0)))),IF(I8&lt;=N8,2,IF(I8&gt;=M8,-2,IF(I8&lt;0,1,IF(I8&gt;0,-1,0))))))</x:f>
        <x:v>2</x:v>
      </x:c>
      <x:c r="P8" s="29" t="str">
        <x:f>IF(F8="","待接入",IF(H8="","仅有基线",IF(O8=2,"强利多",IF(O8=1,"偏利多",IF(O8=-1,"偏利空",IF(O8=-2,"强利空","中性"))))))</x:f>
        <x:v>强利多</x:v>
      </x:c>
      <x:c r="Q8" s="21" t="str">
        <x:v>已核实</x:v>
      </x:c>
      <x:c r="R8" s="21" t="str">
        <x:v>年度</x:v>
      </x:c>
      <x:c r="S8" s="21" t="str">
        <x:v>https://silverinstitute.org/wp-content/uploads/2026/04/World-Silver-Survey-2026.pdf</x:v>
      </x:c>
      <x:c r="T8" s="21" t="str">
        <x:v>电气电子总量减光伏；包含汽车、AI、电网、半导体、通信和消费电子</x:v>
      </x:c>
    </x:row>
    <x:row r="9" ht="36" customHeight="1">
      <x:c r="A9" s="21" t="n">
        <x:v>5</x:v>
      </x:c>
      <x:c r="B9" s="21" t="str">
        <x:v>非光伏电气电子</x:v>
      </x:c>
      <x:c r="C9" s="21" t="str">
        <x:v>守门指标</x:v>
      </x:c>
      <x:c r="D9" s="21" t="str">
        <x:v>占工业需求比重</x:v>
      </x:c>
      <x:c r="E9" s="23" t="str">
        <x:v>2026F</x:v>
      </x:c>
      <x:c r="F9" s="40" t="n">
        <x:v>0.4251</x:v>
      </x:c>
      <x:c r="G9" s="23" t="str">
        <x:v>2025A</x:v>
      </x:c>
      <x:c r="H9" s="40" t="n">
        <x:v>0.3999</x:v>
      </x:c>
      <x:c r="I9" s="33" t="n">
        <x:f>IF(OR(F9="",H9=""),"",F9-H9)</x:f>
        <x:v>0.0252</x:v>
      </x:c>
      <x:c r="J9" s="35" t="n">
        <x:f>IF(OR(F9="",H9="",H9=0),"",F9/H9-1)</x:f>
        <x:v>0.06301575393848458</x:v>
      </x:c>
      <x:c r="K9" s="21" t="str">
        <x:v>%</x:v>
      </x:c>
      <x:c r="L9" s="21" t="str">
        <x:v>越高越利多</x:v>
      </x:c>
      <x:c r="M9" s="41" t="n">
        <x:v>0.02</x:v>
      </x:c>
      <x:c r="N9" s="41" t="n">
        <x:v>-0.02</x:v>
      </x:c>
      <x:c r="O9" s="39" t="n">
        <x:f>IF(OR(F9="",H9=""),0,IF(L9="越高越利多",IF(I9&gt;=M9,2,IF(I9&lt;=N9,-2,IF(I9&gt;0,1,IF(I9&lt;0,-1,0)))),IF(I9&lt;=N9,2,IF(I9&gt;=M9,-2,IF(I9&lt;0,1,IF(I9&gt;0,-1,0))))))</x:f>
        <x:v>2</x:v>
      </x:c>
      <x:c r="P9" s="29" t="str">
        <x:f>IF(F9="","待接入",IF(H9="","仅有基线",IF(O9=2,"强利多",IF(O9=1,"偏利多",IF(O9=-1,"偏利空",IF(O9=-2,"强利空","中性"))))))</x:f>
        <x:v>强利多</x:v>
      </x:c>
      <x:c r="Q9" s="21" t="str">
        <x:v>已核实</x:v>
      </x:c>
      <x:c r="R9" s="21" t="str">
        <x:v>年度</x:v>
      </x:c>
      <x:c r="S9" s="21" t="str">
        <x:v>https://silverinstitute.org/wp-content/uploads/2026/04/World-Silver-Survey-2026.pdf</x:v>
      </x:c>
      <x:c r="T9" s="21" t="str">
        <x:v>用于判断电气化增量是否抵消光伏降银</x:v>
      </x:c>
    </x:row>
    <x:row r="10" ht="36" customHeight="1">
      <x:c r="A10" s="21" t="n">
        <x:v>6</x:v>
      </x:c>
      <x:c r="B10" s="21" t="str">
        <x:v>非光伏电气电子</x:v>
      </x:c>
      <x:c r="C10" s="21" t="str">
        <x:v>驱动</x:v>
      </x:c>
      <x:c r="D10" s="21" t="str">
        <x:v>全球汽车行业用银</x:v>
      </x:c>
      <x:c r="E10" s="23" t="str">
        <x:v>2026E</x:v>
      </x:c>
      <x:c r="F10" s="31" t="n">
        <x:v>2473.6</x:v>
      </x:c>
      <x:c r="G10" s="23" t="str">
        <x:v>2025E</x:v>
      </x:c>
      <x:c r="H10" s="31" t="n">
        <x:v>2392.3</x:v>
      </x:c>
      <x:c r="I10" s="33" t="n">
        <x:f>IF(OR(F10="",H10=""),"",F10-H10)</x:f>
        <x:v>81.29999999999973</x:v>
      </x:c>
      <x:c r="J10" s="35" t="n">
        <x:f>IF(OR(F10="",H10="",H10=0),"",F10/H10-1)</x:f>
        <x:v>0.03398403210299694</x:v>
      </x:c>
      <x:c r="K10" s="21" t="str">
        <x:v>吨</x:v>
      </x:c>
      <x:c r="L10" s="21" t="str">
        <x:v>越高越利多</x:v>
      </x:c>
      <x:c r="M10" s="37" t="n">
        <x:v>80</x:v>
      </x:c>
      <x:c r="N10" s="37" t="n">
        <x:v>-80</x:v>
      </x:c>
      <x:c r="O10" s="39" t="n">
        <x:f>IF(OR(F10="",H10=""),0,IF(L10="越高越利多",IF(I10&gt;=M10,2,IF(I10&lt;=N10,-2,IF(I10&gt;0,1,IF(I10&lt;0,-1,0)))),IF(I10&lt;=N10,2,IF(I10&gt;=M10,-2,IF(I10&lt;0,1,IF(I10&gt;0,-1,0))))))</x:f>
        <x:v>2</x:v>
      </x:c>
      <x:c r="P10" s="29" t="str">
        <x:f>IF(F10="","待接入",IF(H10="","仅有基线",IF(O10=2,"强利多",IF(O10=1,"偏利多",IF(O10=-1,"偏利空",IF(O10=-2,"强利空","中性"))))))</x:f>
        <x:v>强利多</x:v>
      </x:c>
      <x:c r="Q10" s="21" t="str">
        <x:v>模型值</x:v>
      </x:c>
      <x:c r="R10" s="21" t="str">
        <x:v>年度</x:v>
      </x:c>
      <x:c r="S10" s="21" t="str">
        <x:v>https://silverinstitute.org/wp-content/uploads/2025/12/Silver_The-Next-Generation-Metal_DECEMBER-Release.pdf</x:v>
      </x:c>
      <x:c r="T10" s="21" t="str">
        <x:v>由2031年2,923.7吨及3.4%复合增速反推；全汽车口径</x:v>
      </x:c>
    </x:row>
    <x:row r="11" ht="36" customHeight="1">
      <x:c r="A11" s="21" t="n">
        <x:v>7</x:v>
      </x:c>
      <x:c r="B11" s="21" t="str">
        <x:v>高功率封装</x:v>
      </x:c>
      <x:c r="C11" s="21" t="str">
        <x:v>代理指标</x:v>
      </x:c>
      <x:c r="D11" s="21" t="str">
        <x:v>SiC/IGBT功率模块出货增速</x:v>
      </x:c>
      <x:c r="E11" s="23"/>
      <x:c r="F11" s="40"/>
      <x:c r="G11" s="23"/>
      <x:c r="H11" s="40"/>
      <x:c r="I11" s="33" t="str">
        <x:f>IF(OR(F11="",H11=""),"",F11-H11)</x:f>
      </x:c>
      <x:c r="J11" s="35" t="str">
        <x:f>IF(OR(F11="",H11="",H11=0),"",F11/H11-1)</x:f>
      </x:c>
      <x:c r="K11" s="21" t="str">
        <x:v>%</x:v>
      </x:c>
      <x:c r="L11" s="21" t="str">
        <x:v>越高越利多</x:v>
      </x:c>
      <x:c r="M11" s="41" t="n">
        <x:v>0.1</x:v>
      </x:c>
      <x:c r="N11" s="41" t="n">
        <x:v>-0.1</x:v>
      </x:c>
      <x:c r="O11" s="39" t="n">
        <x:f>IF(OR(F11="",H11=""),0,IF(L11="越高越利多",IF(I11&gt;=M11,2,IF(I11&lt;=N11,-2,IF(I11&gt;0,1,IF(I11&lt;0,-1,0)))),IF(I11&lt;=N11,2,IF(I11&gt;=M11,-2,IF(I11&lt;0,1,IF(I11&gt;0,-1,0))))))</x:f>
        <x:v>0</x:v>
      </x:c>
      <x:c r="P11" s="29" t="str">
        <x:f>IF(F11="","待接入",IF(H11="","仅有基线",IF(O11=2,"强利多",IF(O11=1,"偏利多",IF(O11=-1,"偏利空",IF(O11=-2,"强利空","中性"))))))</x:f>
        <x:v>待接入</x:v>
      </x:c>
      <x:c r="Q11" s="21" t="str">
        <x:v>待接入</x:v>
      </x:c>
      <x:c r="R11" s="21" t="str">
        <x:v>季度</x:v>
      </x:c>
      <x:c r="S11" s="21" t="str"/>
      <x:c r="T11" s="21" t="str">
        <x:v>建议接入Yole/Omdia或主要功率半导体企业出货数据</x:v>
      </x:c>
    </x:row>
    <x:row r="12" ht="36" customHeight="1">
      <x:c r="A12" s="21" t="n">
        <x:v>8</x:v>
      </x:c>
      <x:c r="B12" s="21" t="str">
        <x:v>高功率封装</x:v>
      </x:c>
      <x:c r="C12" s="21" t="str">
        <x:v>主代理指标</x:v>
      </x:c>
      <x:c r="D12" s="21" t="str">
        <x:v>银烧结/银钎焊材料出货</x:v>
      </x:c>
      <x:c r="E12" s="23"/>
      <x:c r="F12" s="31"/>
      <x:c r="G12" s="23"/>
      <x:c r="H12" s="31"/>
      <x:c r="I12" s="33" t="str">
        <x:f>IF(OR(F12="",H12=""),"",F12-H12)</x:f>
      </x:c>
      <x:c r="J12" s="35" t="str">
        <x:f>IF(OR(F12="",H12="",H12=0),"",F12/H12-1)</x:f>
      </x:c>
      <x:c r="K12" s="21" t="str">
        <x:v>吨</x:v>
      </x:c>
      <x:c r="L12" s="21" t="str">
        <x:v>越高越利多</x:v>
      </x:c>
      <x:c r="M12" s="37" t="n">
        <x:v>10</x:v>
      </x:c>
      <x:c r="N12" s="37" t="n">
        <x:v>-10</x:v>
      </x:c>
      <x:c r="O12" s="39" t="n">
        <x:f>IF(OR(F12="",H12=""),0,IF(L12="越高越利多",IF(I12&gt;=M12,2,IF(I12&lt;=N12,-2,IF(I12&gt;0,1,IF(I12&lt;0,-1,0)))),IF(I12&lt;=N12,2,IF(I12&gt;=M12,-2,IF(I12&lt;0,1,IF(I12&gt;0,-1,0))))))</x:f>
        <x:v>0</x:v>
      </x:c>
      <x:c r="P12" s="29" t="str">
        <x:f>IF(F12="","待接入",IF(H12="","仅有基线",IF(O12=2,"强利多",IF(O12=1,"偏利多",IF(O12=-1,"偏利空",IF(O12=-2,"强利空","中性"))))))</x:f>
        <x:v>待接入</x:v>
      </x:c>
      <x:c r="Q12" s="21" t="str">
        <x:v>待接入</x:v>
      </x:c>
      <x:c r="R12" s="21" t="str">
        <x:v>季度</x:v>
      </x:c>
      <x:c r="S12" s="21" t="str"/>
      <x:c r="T12" s="21" t="str">
        <x:v>优先寻找材料企业销量或BOM；缺少全球统一口径</x:v>
      </x:c>
    </x:row>
    <x:row r="13" ht="36" customHeight="1">
      <x:c r="A13" s="21" t="n">
        <x:v>9</x:v>
      </x:c>
      <x:c r="B13" s="21" t="str">
        <x:v>AI物理基础设施</x:v>
      </x:c>
      <x:c r="C13" s="21" t="str">
        <x:v>主代理指标</x:v>
      </x:c>
      <x:c r="D13" s="21" t="str">
        <x:v>全球数据中心用电</x:v>
      </x:c>
      <x:c r="E13" s="23" t="str">
        <x:v>2025A</x:v>
      </x:c>
      <x:c r="F13" s="31" t="n">
        <x:v>485</x:v>
      </x:c>
      <x:c r="G13" s="23"/>
      <x:c r="H13" s="31"/>
      <x:c r="I13" s="33" t="str">
        <x:f>IF(OR(F13="",H13=""),"",F13-H13)</x:f>
      </x:c>
      <x:c r="J13" s="35" t="str">
        <x:f>IF(OR(F13="",H13="",H13=0),"",F13/H13-1)</x:f>
      </x:c>
      <x:c r="K13" s="21" t="str">
        <x:v>TWh</x:v>
      </x:c>
      <x:c r="L13" s="21" t="str">
        <x:v>越高越利多</x:v>
      </x:c>
      <x:c r="M13" s="37" t="n">
        <x:v>30</x:v>
      </x:c>
      <x:c r="N13" s="37" t="n">
        <x:v>-30</x:v>
      </x:c>
      <x:c r="O13" s="39" t="n">
        <x:f>IF(OR(F13="",H13=""),0,IF(L13="越高越利多",IF(I13&gt;=M13,2,IF(I13&lt;=N13,-2,IF(I13&gt;0,1,IF(I13&lt;0,-1,0)))),IF(I13&lt;=N13,2,IF(I13&gt;=M13,-2,IF(I13&lt;0,1,IF(I13&gt;0,-1,0))))))</x:f>
        <x:v>0</x:v>
      </x:c>
      <x:c r="P13" s="29" t="str">
        <x:f>IF(F13="","待接入",IF(H13="","仅有基线",IF(O13=2,"强利多",IF(O13=1,"偏利多",IF(O13=-1,"偏利空",IF(O13=-2,"强利空","中性"))))))</x:f>
        <x:v>仅有基线</x:v>
      </x:c>
      <x:c r="Q13" s="21" t="str">
        <x:v>仅有基线</x:v>
      </x:c>
      <x:c r="R13" s="21" t="str">
        <x:v>年度</x:v>
      </x:c>
      <x:c r="S13" s="21" t="str">
        <x:v>https://www.iea.org/reports/key-questions-on-energy-and-ai/executive-summary</x:v>
      </x:c>
      <x:c r="T13" s="21" t="str">
        <x:v>IEA预计2030年约950 TWh；用电增长不能同比例映射银耗</x:v>
      </x:c>
    </x:row>
    <x:row r="14" ht="36" customHeight="1">
      <x:c r="A14" s="21" t="n">
        <x:v>10</x:v>
      </x:c>
      <x:c r="B14" s="21" t="str">
        <x:v>AI物理基础设施</x:v>
      </x:c>
      <x:c r="C14" s="21" t="str">
        <x:v>驱动</x:v>
      </x:c>
      <x:c r="D14" s="21" t="str">
        <x:v>AI服务器/GPU系统出货增速</x:v>
      </x:c>
      <x:c r="E14" s="23"/>
      <x:c r="F14" s="40"/>
      <x:c r="G14" s="23"/>
      <x:c r="H14" s="40"/>
      <x:c r="I14" s="33" t="str">
        <x:f>IF(OR(F14="",H14=""),"",F14-H14)</x:f>
      </x:c>
      <x:c r="J14" s="35" t="str">
        <x:f>IF(OR(F14="",H14="",H14=0),"",F14/H14-1)</x:f>
      </x:c>
      <x:c r="K14" s="21" t="str">
        <x:v>%</x:v>
      </x:c>
      <x:c r="L14" s="21" t="str">
        <x:v>越高越利多</x:v>
      </x:c>
      <x:c r="M14" s="41" t="n">
        <x:v>0.1</x:v>
      </x:c>
      <x:c r="N14" s="41" t="n">
        <x:v>-0.1</x:v>
      </x:c>
      <x:c r="O14" s="39" t="n">
        <x:f>IF(OR(F14="",H14=""),0,IF(L14="越高越利多",IF(I14&gt;=M14,2,IF(I14&lt;=N14,-2,IF(I14&gt;0,1,IF(I14&lt;0,-1,0)))),IF(I14&lt;=N14,2,IF(I14&gt;=M14,-2,IF(I14&lt;0,1,IF(I14&gt;0,-1,0))))))</x:f>
        <x:v>0</x:v>
      </x:c>
      <x:c r="P14" s="29" t="str">
        <x:f>IF(F14="","待接入",IF(H14="","仅有基线",IF(O14=2,"强利多",IF(O14=1,"偏利多",IF(O14=-1,"偏利空",IF(O14=-2,"强利空","中性"))))))</x:f>
        <x:v>待接入</x:v>
      </x:c>
      <x:c r="Q14" s="21" t="str">
        <x:v>待接入</x:v>
      </x:c>
      <x:c r="R14" s="21" t="str">
        <x:v>季度</x:v>
      </x:c>
      <x:c r="S14" s="21" t="str"/>
      <x:c r="T14" s="21" t="str">
        <x:v>建议接入服务器厂商、GPU厂商或IDC/Omdia出货数据</x:v>
      </x:c>
    </x:row>
    <x:row r="15" ht="36" customHeight="1">
      <x:c r="A15" s="21" t="n">
        <x:v>11</x:v>
      </x:c>
      <x:c r="B15" s="21" t="str">
        <x:v>AI物理基础设施</x:v>
      </x:c>
      <x:c r="C15" s="21" t="str">
        <x:v>驱动</x:v>
      </x:c>
      <x:c r="D15" s="21" t="str">
        <x:v>数据中心新增IT容量</x:v>
      </x:c>
      <x:c r="E15" s="23"/>
      <x:c r="F15" s="31"/>
      <x:c r="G15" s="23"/>
      <x:c r="H15" s="31"/>
      <x:c r="I15" s="33" t="str">
        <x:f>IF(OR(F15="",H15=""),"",F15-H15)</x:f>
      </x:c>
      <x:c r="J15" s="35" t="str">
        <x:f>IF(OR(F15="",H15="",H15=0),"",F15/H15-1)</x:f>
      </x:c>
      <x:c r="K15" s="21" t="str">
        <x:v>GW</x:v>
      </x:c>
      <x:c r="L15" s="21" t="str">
        <x:v>越高越利多</x:v>
      </x:c>
      <x:c r="M15" s="37" t="n">
        <x:v>1</x:v>
      </x:c>
      <x:c r="N15" s="37" t="n">
        <x:v>-1</x:v>
      </x:c>
      <x:c r="O15" s="39" t="n">
        <x:f>IF(OR(F15="",H15=""),0,IF(L15="越高越利多",IF(I15&gt;=M15,2,IF(I15&lt;=N15,-2,IF(I15&gt;0,1,IF(I15&lt;0,-1,0)))),IF(I15&lt;=N15,2,IF(I15&gt;=M15,-2,IF(I15&lt;0,1,IF(I15&gt;0,-1,0))))))</x:f>
        <x:v>0</x:v>
      </x:c>
      <x:c r="P15" s="29" t="str">
        <x:f>IF(F15="","待接入",IF(H15="","仅有基线",IF(O15=2,"强利多",IF(O15=1,"偏利多",IF(O15=-1,"偏利空",IF(O15=-2,"强利空","中性"))))))</x:f>
        <x:v>待接入</x:v>
      </x:c>
      <x:c r="Q15" s="21" t="str">
        <x:v>待接入</x:v>
      </x:c>
      <x:c r="R15" s="21" t="str">
        <x:v>季度</x:v>
      </x:c>
      <x:c r="S15" s="21" t="str">
        <x:v>https://www.iea.org/reports/key-questions-on-energy-and-ai/executive-summary</x:v>
      </x:c>
      <x:c r="T15" s="21" t="str">
        <x:v>与PDU/UPS、开关柜和冷却系统订单联合观察</x:v>
      </x:c>
    </x:row>
    <x:row r="16" ht="36" customHeight="1">
      <x:c r="A16" s="21" t="n">
        <x:v>12</x:v>
      </x:c>
      <x:c r="B16" s="21" t="str">
        <x:v>供应与投资</x:v>
      </x:c>
      <x:c r="C16" s="21" t="str">
        <x:v>供给</x:v>
      </x:c>
      <x:c r="D16" s="21" t="str">
        <x:v>全球矿山产量</x:v>
      </x:c>
      <x:c r="E16" s="23" t="str">
        <x:v>2026F</x:v>
      </x:c>
      <x:c r="F16" s="31" t="n">
        <x:v>26254.4</x:v>
      </x:c>
      <x:c r="G16" s="23" t="str">
        <x:v>2025A</x:v>
      </x:c>
      <x:c r="H16" s="31" t="n">
        <x:v>26332.2</x:v>
      </x:c>
      <x:c r="I16" s="33" t="n">
        <x:f>IF(OR(F16="",H16=""),"",F16-H16)</x:f>
        <x:v>-77.79999999999927</x:v>
      </x:c>
      <x:c r="J16" s="35" t="n">
        <x:f>IF(OR(F16="",H16="",H16=0),"",F16/H16-1)</x:f>
        <x:v>-0.002954557537919289</x:v>
      </x:c>
      <x:c r="K16" s="21" t="str">
        <x:v>吨</x:v>
      </x:c>
      <x:c r="L16" s="21" t="str">
        <x:v>越低越利多</x:v>
      </x:c>
      <x:c r="M16" s="37" t="n">
        <x:v>300</x:v>
      </x:c>
      <x:c r="N16" s="37" t="n">
        <x:v>-300</x:v>
      </x:c>
      <x:c r="O16" s="39" t="n">
        <x:f>IF(OR(F16="",H16=""),0,IF(L16="越高越利多",IF(I16&gt;=M16,2,IF(I16&lt;=N16,-2,IF(I16&gt;0,1,IF(I16&lt;0,-1,0)))),IF(I16&lt;=N16,2,IF(I16&gt;=M16,-2,IF(I16&lt;0,1,IF(I16&gt;0,-1,0))))))</x:f>
        <x:v>1</x:v>
      </x:c>
      <x:c r="P16" s="29" t="str">
        <x:f>IF(F16="","待接入",IF(H16="","仅有基线",IF(O16=2,"强利多",IF(O16=1,"偏利多",IF(O16=-1,"偏利空",IF(O16=-2,"强利空","中性"))))))</x:f>
        <x:v>偏利多</x:v>
      </x:c>
      <x:c r="Q16" s="21" t="str">
        <x:v>已核实</x:v>
      </x:c>
      <x:c r="R16" s="21" t="str">
        <x:v>年度</x:v>
      </x:c>
      <x:c r="S16" s="21" t="str">
        <x:v>https://silverinstitute.org/wp-content/uploads/2026/04/World-Silver-Survey-2026.pdf</x:v>
      </x:c>
      <x:c r="T16" s="21" t="str">
        <x:v>白银多为副产品，供给响应受铜、铅锌和金矿资本开支制约</x:v>
      </x:c>
    </x:row>
    <x:row r="17" ht="36" customHeight="1">
      <x:c r="A17" s="21" t="n">
        <x:v>13</x:v>
      </x:c>
      <x:c r="B17" s="21" t="str">
        <x:v>供应与投资</x:v>
      </x:c>
      <x:c r="C17" s="21" t="str">
        <x:v>供给</x:v>
      </x:c>
      <x:c r="D17" s="21" t="str">
        <x:v>全球再生银供应</x:v>
      </x:c>
      <x:c r="E17" s="23" t="str">
        <x:v>2026F</x:v>
      </x:c>
      <x:c r="F17" s="31" t="n">
        <x:v>6572.2</x:v>
      </x:c>
      <x:c r="G17" s="23" t="str">
        <x:v>2025A</x:v>
      </x:c>
      <x:c r="H17" s="31" t="n">
        <x:v>6146</x:v>
      </x:c>
      <x:c r="I17" s="33" t="n">
        <x:f>IF(OR(F17="",H17=""),"",F17-H17)</x:f>
        <x:v>426.1999999999998</x:v>
      </x:c>
      <x:c r="J17" s="35" t="n">
        <x:f>IF(OR(F17="",H17="",H17=0),"",F17/H17-1)</x:f>
        <x:v>0.06934591604295481</x:v>
      </x:c>
      <x:c r="K17" s="21" t="str">
        <x:v>吨</x:v>
      </x:c>
      <x:c r="L17" s="21" t="str">
        <x:v>越低越利多</x:v>
      </x:c>
      <x:c r="M17" s="37" t="n">
        <x:v>300</x:v>
      </x:c>
      <x:c r="N17" s="37" t="n">
        <x:v>-300</x:v>
      </x:c>
      <x:c r="O17" s="39" t="n">
        <x:f>IF(OR(F17="",H17=""),0,IF(L17="越高越利多",IF(I17&gt;=M17,2,IF(I17&lt;=N17,-2,IF(I17&gt;0,1,IF(I17&lt;0,-1,0)))),IF(I17&lt;=N17,2,IF(I17&gt;=M17,-2,IF(I17&lt;0,1,IF(I17&gt;0,-1,0))))))</x:f>
        <x:v>-2</x:v>
      </x:c>
      <x:c r="P17" s="29" t="str">
        <x:f>IF(F17="","待接入",IF(H17="","仅有基线",IF(O17=2,"强利多",IF(O17=1,"偏利多",IF(O17=-1,"偏利空",IF(O17=-2,"强利空","中性"))))))</x:f>
        <x:v>强利空</x:v>
      </x:c>
      <x:c r="Q17" s="21" t="str">
        <x:v>已核实</x:v>
      </x:c>
      <x:c r="R17" s="21" t="str">
        <x:v>年度</x:v>
      </x:c>
      <x:c r="S17" s="21" t="str">
        <x:v>https://silverinstitute.org/wp-content/uploads/2026/04/World-Silver-Survey-2026.pdf</x:v>
      </x:c>
      <x:c r="T17" s="21" t="str">
        <x:v>高价推动回收；需关注回收和精炼瓶颈</x:v>
      </x:c>
    </x:row>
    <x:row r="18" ht="36" customHeight="1">
      <x:c r="A18" s="21" t="n">
        <x:v>14</x:v>
      </x:c>
      <x:c r="B18" s="21" t="str">
        <x:v>供应与投资</x:v>
      </x:c>
      <x:c r="C18" s="21" t="str">
        <x:v>主指标</x:v>
      </x:c>
      <x:c r="D18" s="21" t="str">
        <x:v>全球市场平衡</x:v>
      </x:c>
      <x:c r="E18" s="23" t="str">
        <x:v>2026F</x:v>
      </x:c>
      <x:c r="F18" s="31" t="n">
        <x:v>-1440.1</x:v>
      </x:c>
      <x:c r="G18" s="23" t="str">
        <x:v>2025A</x:v>
      </x:c>
      <x:c r="H18" s="31" t="n">
        <x:v>-1253.5</x:v>
      </x:c>
      <x:c r="I18" s="33" t="n">
        <x:f>IF(OR(F18="",H18=""),"",F18-H18)</x:f>
        <x:v>-186.5999999999999</x:v>
      </x:c>
      <x:c r="J18" s="35"/>
      <x:c r="K18" s="21" t="str">
        <x:v>吨</x:v>
      </x:c>
      <x:c r="L18" s="21" t="str">
        <x:v>越低越利多</x:v>
      </x:c>
      <x:c r="M18" s="37" t="n">
        <x:v>150</x:v>
      </x:c>
      <x:c r="N18" s="37" t="n">
        <x:v>-150</x:v>
      </x:c>
      <x:c r="O18" s="39" t="n">
        <x:f>IF(OR(F18="",H18=""),0,IF(L18="越高越利多",IF(I18&gt;=M18,2,IF(I18&lt;=N18,-2,IF(I18&gt;0,1,IF(I18&lt;0,-1,0)))),IF(I18&lt;=N18,2,IF(I18&gt;=M18,-2,IF(I18&lt;0,1,IF(I18&gt;0,-1,0))))))</x:f>
        <x:v>2</x:v>
      </x:c>
      <x:c r="P18" s="29" t="str">
        <x:f>IF(F18="","待接入",IF(H18="","仅有基线",IF(O18=2,"强利多",IF(O18=1,"偏利多",IF(O18=-1,"偏利空",IF(O18=-2,"强利空","中性"))))))</x:f>
        <x:v>强利多</x:v>
      </x:c>
      <x:c r="Q18" s="21" t="str">
        <x:v>已核实</x:v>
      </x:c>
      <x:c r="R18" s="21" t="str">
        <x:v>年度</x:v>
      </x:c>
      <x:c r="S18" s="21" t="str">
        <x:v>https://silverinstitute.org/wp-content/uploads/2026/04/World-Silver-Survey-2026.pdf</x:v>
      </x:c>
      <x:c r="T18" s="21" t="str">
        <x:v>供应减需求；负值为缺口；不含ETP资金流</x:v>
      </x:c>
    </x:row>
    <x:row r="19" ht="36" customHeight="1">
      <x:c r="A19" s="21" t="n">
        <x:v>15</x:v>
      </x:c>
      <x:c r="B19" s="21" t="str">
        <x:v>供应与投资</x:v>
      </x:c>
      <x:c r="C19" s="21" t="str">
        <x:v>投资</x:v>
      </x:c>
      <x:c r="D19" s="21" t="str">
        <x:v>ETP净流入</x:v>
      </x:c>
      <x:c r="E19" s="23" t="str">
        <x:v>2026F</x:v>
      </x:c>
      <x:c r="F19" s="31" t="n">
        <x:v>933.1</x:v>
      </x:c>
      <x:c r="G19" s="23"/>
      <x:c r="H19" s="31"/>
      <x:c r="I19" s="33" t="str">
        <x:f>IF(OR(F19="",H19=""),"",F19-H19)</x:f>
      </x:c>
      <x:c r="J19" s="35" t="str">
        <x:f>IF(OR(F19="",H19="",H19=0),"",F19/H19-1)</x:f>
      </x:c>
      <x:c r="K19" s="21" t="str">
        <x:v>吨</x:v>
      </x:c>
      <x:c r="L19" s="21" t="str">
        <x:v>越高越利多</x:v>
      </x:c>
      <x:c r="M19" s="37" t="n">
        <x:v>300</x:v>
      </x:c>
      <x:c r="N19" s="37" t="n">
        <x:v>-300</x:v>
      </x:c>
      <x:c r="O19" s="39" t="n">
        <x:f>IF(OR(F19="",H19=""),0,IF(L19="越高越利多",IF(I19&gt;=M19,2,IF(I19&lt;=N19,-2,IF(I19&gt;0,1,IF(I19&lt;0,-1,0)))),IF(I19&lt;=N19,2,IF(I19&gt;=M19,-2,IF(I19&lt;0,1,IF(I19&gt;0,-1,0))))))</x:f>
        <x:v>0</x:v>
      </x:c>
      <x:c r="P19" s="29" t="str">
        <x:f>IF(F19="","待接入",IF(H19="","仅有基线",IF(O19=2,"强利多",IF(O19=1,"偏利多",IF(O19=-1,"偏利空",IF(O19=-2,"强利空","中性"))))))</x:f>
        <x:v>仅有基线</x:v>
      </x:c>
      <x:c r="Q19" s="21" t="str">
        <x:v>仅有基线</x:v>
      </x:c>
      <x:c r="R19" s="21" t="str">
        <x:v>月度/年度</x:v>
      </x:c>
      <x:c r="S19" s="21" t="str">
        <x:v>https://silverinstitute.org/elevated-lease-rates-regional-liquidity-tightness-and-robust-investor-interest-resulted-in-record-silver-prices-in-2025/</x:v>
      </x:c>
      <x:c r="T19" s="21" t="str">
        <x:v>资金流会影响可流通金属紧张程度</x:v>
      </x:c>
    </x:row>
    <x:row r="20" ht="36" customHeight="1">
      <x:c r="A20" s="21" t="n">
        <x:v>16</x:v>
      </x:c>
      <x:c r="B20" s="21" t="str">
        <x:v>供应与投资</x:v>
      </x:c>
      <x:c r="C20" s="21" t="str">
        <x:v>库存</x:v>
      </x:c>
      <x:c r="D20" s="21" t="str">
        <x:v>交易所及伦敦可用库存</x:v>
      </x:c>
      <x:c r="E20" s="23"/>
      <x:c r="F20" s="31"/>
      <x:c r="G20" s="23"/>
      <x:c r="H20" s="31"/>
      <x:c r="I20" s="33" t="str">
        <x:f>IF(OR(F20="",H20=""),"",F20-H20)</x:f>
      </x:c>
      <x:c r="J20" s="35" t="str">
        <x:f>IF(OR(F20="",H20="",H20=0),"",F20/H20-1)</x:f>
      </x:c>
      <x:c r="K20" s="21" t="str">
        <x:v>吨</x:v>
      </x:c>
      <x:c r="L20" s="21" t="str">
        <x:v>越低越利多</x:v>
      </x:c>
      <x:c r="M20" s="37" t="n">
        <x:v>500</x:v>
      </x:c>
      <x:c r="N20" s="37" t="n">
        <x:v>-500</x:v>
      </x:c>
      <x:c r="O20" s="39" t="n">
        <x:f>IF(OR(F20="",H20=""),0,IF(L20="越高越利多",IF(I20&gt;=M20,2,IF(I20&lt;=N20,-2,IF(I20&gt;0,1,IF(I20&lt;0,-1,0)))),IF(I20&lt;=N20,2,IF(I20&gt;=M20,-2,IF(I20&lt;0,1,IF(I20&gt;0,-1,0))))))</x:f>
        <x:v>0</x:v>
      </x:c>
      <x:c r="P20" s="29" t="str">
        <x:f>IF(F20="","待接入",IF(H20="","仅有基线",IF(O20=2,"强利多",IF(O20=1,"偏利多",IF(O20=-1,"偏利空",IF(O20=-2,"强利空","中性"))))))</x:f>
        <x:v>待接入</x:v>
      </x:c>
      <x:c r="Q20" s="21" t="str">
        <x:v>待接入</x:v>
      </x:c>
      <x:c r="R20" s="21" t="str">
        <x:v>周度/月度</x:v>
      </x:c>
      <x:c r="S20" s="21" t="str"/>
      <x:c r="T20" s="21" t="str">
        <x:v>建议分COMEX注册库存、LBMA库存和ETF托管库存记录</x:v>
      </x:c>
    </x:row>
    <x:row r="21" ht="36" customHeight="1">
      <x:c r="A21" s="21" t="n">
        <x:v>17</x:v>
      </x:c>
      <x:c r="B21" s="21" t="str">
        <x:v>供应与投资</x:v>
      </x:c>
      <x:c r="C21" s="21" t="str">
        <x:v>流动性</x:v>
      </x:c>
      <x:c r="D21" s="21" t="str">
        <x:v>白银租借利率</x:v>
      </x:c>
      <x:c r="E21" s="23"/>
      <x:c r="F21" s="40"/>
      <x:c r="G21" s="23"/>
      <x:c r="H21" s="40"/>
      <x:c r="I21" s="33" t="str">
        <x:f>IF(OR(F21="",H21=""),"",F21-H21)</x:f>
      </x:c>
      <x:c r="J21" s="35" t="str">
        <x:f>IF(OR(F21="",H21="",H21=0),"",F21/H21-1)</x:f>
      </x:c>
      <x:c r="K21" s="21" t="str">
        <x:v>%</x:v>
      </x:c>
      <x:c r="L21" s="21" t="str">
        <x:v>越高越利多</x:v>
      </x:c>
      <x:c r="M21" s="41" t="n">
        <x:v>0.01</x:v>
      </x:c>
      <x:c r="N21" s="41" t="n">
        <x:v>-0.01</x:v>
      </x:c>
      <x:c r="O21" s="39" t="n">
        <x:f>IF(OR(F21="",H21=""),0,IF(L21="越高越利多",IF(I21&gt;=M21,2,IF(I21&lt;=N21,-2,IF(I21&gt;0,1,IF(I21&lt;0,-1,0)))),IF(I21&lt;=N21,2,IF(I21&gt;=M21,-2,IF(I21&lt;0,1,IF(I21&gt;0,-1,0))))))</x:f>
        <x:v>0</x:v>
      </x:c>
      <x:c r="P21" s="29" t="str">
        <x:f>IF(F21="","待接入",IF(H21="","仅有基线",IF(O21=2,"强利多",IF(O21=1,"偏利多",IF(O21=-1,"偏利空",IF(O21=-2,"强利空","中性"))))))</x:f>
        <x:v>待接入</x:v>
      </x:c>
      <x:c r="Q21" s="21" t="str">
        <x:v>待接入</x:v>
      </x:c>
      <x:c r="R21" s="21" t="str">
        <x:v>周度/月度</x:v>
      </x:c>
      <x:c r="S21" s="21" t="str"/>
      <x:c r="T21" s="21" t="str">
        <x:v>高租借利率通常提示现货或区域流动性偏紧</x:v>
      </x:c>
    </x:row>
  </x:sheetData>
  <x:mergeCells>
    <x:mergeCell ref="A1:T1"/>
    <x:mergeCell ref="A2:T2"/>
  </x:mergeCells>
  <x:conditionalFormatting sqref="P5:P21">
    <x:cfRule type="containsText" dxfId="0" priority="1" operator="containsText" text="强利多"/>
    <x:cfRule type="containsText" dxfId="1" priority="2" operator="containsText" text="偏利多"/>
    <x:cfRule type="containsText" dxfId="2" priority="3" operator="containsText" text="强利空"/>
    <x:cfRule type="containsText" dxfId="3" priority="4" operator="containsText" text="偏利空"/>
    <x:cfRule type="containsText" dxfId="4" priority="5" operator="containsText" text="待接入"/>
  </x:conditionalFormatting>
  <x:dataValidations count="2">
    <x:dataValidation type="list" sqref="Q5:Q100">
      <x:formula1>"已核实,模型值,仅有基线,待接入,待更新"</x:formula1>
    </x:dataValidation>
    <x:dataValidation type="list" sqref="R5:R100">
      <x:formula1>"周度,月度,周度/月度,季度,季度/年度,年度"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3" hidden="0" customWidth="1"/>
    <x:col min="5" max="5" width="13" hidden="0" customWidth="1"/>
    <x:col min="6" max="6" width="14" hidden="0" customWidth="1"/>
    <x:col min="7" max="7" width="21" hidden="0" customWidth="1"/>
    <x:col min="8" max="8" width="18" hidden="0" customWidth="1"/>
    <x:col min="9" max="9" width="14" hidden="0" customWidth="1"/>
    <x:col min="10" max="10" width="3" hidden="0" customWidth="1"/>
    <x:col min="11" max="11" width="22" hidden="0" customWidth="1"/>
    <x:col min="12" max="12" width="13" hidden="0" customWidth="1"/>
    <x:col min="13" max="13" width="3" hidden="0" customWidth="1"/>
    <x:col min="14" max="14" width="14" hidden="0" customWidth="1"/>
  </x:cols>
  <x:sheetData>
    <x:row r="1" ht="36" customHeight="1">
      <x:c r="A1" s="4" t="str">
        <x:v>历史数据与图表驱动区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8" t="str">
        <x:v>黄色单元格为预测或模型值；图表直接引用本页数据。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年份</x:v>
      </x:c>
      <x:c r="B4" s="14" t="str">
        <x:v>市场平衡（吨）</x:v>
      </x:c>
      <x:c r="C4" s="14" t="str">
        <x:v>口径</x:v>
      </x:c>
      <x:c r="E4" s="14" t="str">
        <x:v>年份</x:v>
      </x:c>
      <x:c r="F4" s="14" t="str">
        <x:v>光伏</x:v>
      </x:c>
      <x:c r="G4" s="14" t="str">
        <x:v>非光伏电气电子</x:v>
      </x:c>
      <x:c r="H4" s="14" t="str">
        <x:v>钎焊合金与焊料</x:v>
      </x:c>
      <x:c r="I4" s="14" t="str">
        <x:v>其他工业</x:v>
      </x:c>
      <x:c r="K4" s="14" t="str">
        <x:v>监测主题</x:v>
      </x:c>
      <x:c r="L4" s="14" t="str">
        <x:v>信号分数</x:v>
      </x:c>
    </x:row>
    <x:row r="5">
      <x:c r="A5" s="20" t="n">
        <x:v>2017</x:v>
      </x:c>
      <x:c r="B5" s="42" t="n">
        <x:v>1657.8</x:v>
      </x:c>
      <x:c r="C5" s="20" t="str">
        <x:v>实际</x:v>
      </x:c>
      <x:c r="E5" s="20" t="n">
        <x:v>2024</x:v>
      </x:c>
      <x:c r="F5" s="42" t="n">
        <x:v>6142.9</x:v>
      </x:c>
      <x:c r="G5" s="42" t="n">
        <x:v>8192.7</x:v>
      </x:c>
      <x:c r="H5" s="42" t="n">
        <x:v>1545.8</x:v>
      </x:c>
      <x:c r="I5" s="42" t="n">
        <x:v>5237.8</x:v>
      </x:c>
      <x:c r="K5" s="20" t="str">
        <x:v>光伏银耗</x:v>
      </x:c>
      <x:c r="L5" s="50" t="n">
        <x:f>'指标更新'!O5</x:f>
        <x:v>-2</x:v>
      </x:c>
    </x:row>
    <x:row r="6">
      <x:c r="A6" s="21" t="n">
        <x:v>2018</x:v>
      </x:c>
      <x:c r="B6" s="43" t="n">
        <x:v>466.6</x:v>
      </x:c>
      <x:c r="C6" s="21" t="str">
        <x:v>实际</x:v>
      </x:c>
      <x:c r="E6" s="21" t="n">
        <x:v>2025</x:v>
      </x:c>
      <x:c r="F6" s="43" t="n">
        <x:v>5803.9</x:v>
      </x:c>
      <x:c r="G6" s="43" t="n">
        <x:v>8177.1</x:v>
      </x:c>
      <x:c r="H6" s="43" t="n">
        <x:v>1570.7</x:v>
      </x:c>
      <x:c r="I6" s="43" t="n">
        <x:v>4895.7</x:v>
      </x:c>
      <x:c r="K6" s="21" t="str">
        <x:v>非光伏电气电子</x:v>
      </x:c>
      <x:c r="L6" s="51" t="n">
        <x:f>'指标更新'!O8</x:f>
        <x:v>2</x:v>
      </x:c>
    </x:row>
    <x:row r="7">
      <x:c r="A7" s="21" t="n">
        <x:v>2019</x:v>
      </x:c>
      <x:c r="B7" s="43" t="n">
        <x:v>345.2</x:v>
      </x:c>
      <x:c r="C7" s="21" t="str">
        <x:v>实际</x:v>
      </x:c>
      <x:c r="E7" s="44" t="str">
        <x:v>2026F</x:v>
      </x:c>
      <x:c r="F7" s="45" t="n">
        <x:v>4696.6</x:v>
      </x:c>
      <x:c r="G7" s="45" t="n">
        <x:v>8457</x:v>
      </x:c>
      <x:c r="H7" s="45" t="n">
        <x:v>1586.3</x:v>
      </x:c>
      <x:c r="I7" s="45" t="n">
        <x:v>5153.8</x:v>
      </x:c>
      <x:c r="K7" s="21" t="str">
        <x:v>高功率封装</x:v>
      </x:c>
      <x:c r="L7" s="51" t="n">
        <x:f>'指标更新'!O12</x:f>
        <x:v>0</x:v>
      </x:c>
    </x:row>
    <x:row r="8">
      <x:c r="A8" s="21" t="n">
        <x:v>2020</x:v>
      </x:c>
      <x:c r="B8" s="43" t="n">
        <x:v>1632.9</x:v>
      </x:c>
      <x:c r="C8" s="21" t="str">
        <x:v>实际</x:v>
      </x:c>
      <x:c r="K8" s="21" t="str">
        <x:v>AI物理基础设施</x:v>
      </x:c>
      <x:c r="L8" s="51" t="n">
        <x:f>'指标更新'!O13</x:f>
        <x:v>0</x:v>
      </x:c>
    </x:row>
    <x:row r="9">
      <x:c r="A9" s="21" t="n">
        <x:v>2021</x:v>
      </x:c>
      <x:c r="B9" s="43" t="n">
        <x:v>-2603.4</x:v>
      </x:c>
      <x:c r="C9" s="21" t="str">
        <x:v>实际</x:v>
      </x:c>
      <x:c r="K9" s="21" t="str">
        <x:v>供应与投资</x:v>
      </x:c>
      <x:c r="L9" s="51" t="n">
        <x:f>'指标更新'!O18</x:f>
        <x:v>2</x:v>
      </x:c>
    </x:row>
    <x:row r="10">
      <x:c r="A10" s="21" t="n">
        <x:v>2022</x:v>
      </x:c>
      <x:c r="B10" s="43" t="n">
        <x:v>-7900.3</x:v>
      </x:c>
      <x:c r="C10" s="21" t="str">
        <x:v>实际</x:v>
      </x:c>
    </x:row>
    <x:row r="11">
      <x:c r="A11" s="21" t="n">
        <x:v>2023</x:v>
      </x:c>
      <x:c r="B11" s="43" t="n">
        <x:v>-6223.8</x:v>
      </x:c>
      <x:c r="C11" s="21" t="str">
        <x:v>实际</x:v>
      </x:c>
    </x:row>
    <x:row r="12">
      <x:c r="A12" s="21" t="n">
        <x:v>2024</x:v>
      </x:c>
      <x:c r="B12" s="43" t="n">
        <x:v>-4289.2</x:v>
      </x:c>
      <x:c r="C12" s="21" t="str">
        <x:v>实际</x:v>
      </x:c>
    </x:row>
    <x:row r="13">
      <x:c r="A13" s="21" t="n">
        <x:v>2025</x:v>
      </x:c>
      <x:c r="B13" s="43" t="n">
        <x:v>-1253.5</x:v>
      </x:c>
      <x:c r="C13" s="21" t="str">
        <x:v>实际</x:v>
      </x:c>
    </x:row>
    <x:row r="14">
      <x:c r="A14" s="44" t="n">
        <x:v>2026</x:v>
      </x:c>
      <x:c r="B14" s="45" t="n">
        <x:v>-1440.1</x:v>
      </x:c>
      <x:c r="C14" s="44" t="str">
        <x:v>预测</x:v>
      </x:c>
    </x:row>
    <x:row r="18">
      <x:c r="A18" s="14" t="str">
        <x:v>年份</x:v>
      </x:c>
      <x:c r="B18" s="14" t="str">
        <x:v>汽车用银（吨）</x:v>
      </x:c>
      <x:c r="C18" s="14" t="str">
        <x:v>口径</x:v>
      </x:c>
      <x:c r="E18" s="53" t="str">
        <x:v>图表口径说明</x:v>
      </x:c>
      <x:c r="F18" s="53"/>
      <x:c r="G18" s="53"/>
      <x:c r="H18" s="53"/>
      <x:c r="I18" s="53"/>
      <x:c r="J18" s="53"/>
      <x:c r="K18" s="53"/>
      <x:c r="L18" s="53"/>
      <x:c r="M18" s="53"/>
      <x:c r="N18" s="53"/>
    </x:row>
    <x:row r="19">
      <x:c r="A19" s="46" t="n">
        <x:v>2025</x:v>
      </x:c>
      <x:c r="B19" s="47" t="n">
        <x:v>2392.3</x:v>
      </x:c>
      <x:c r="C19" s="46" t="str">
        <x:v>模型</x:v>
      </x:c>
      <x:c r="E19" s="73" t="str">
        <x:v>1）市场平衡=总供应−总需求，负值为缺口；不包含ETP资金流。
2）2026年工业数据为WSS预测。
3）汽车用银为由2031年终值和3.4%复合增速反推的近似路径。
4）信号分数：+2强利多、+1偏利多、0中性/待接入、−1偏利空、−2强利空。</x:v>
      </x:c>
      <x:c r="F19" s="74"/>
      <x:c r="G19" s="74"/>
      <x:c r="H19" s="74"/>
      <x:c r="I19" s="74"/>
      <x:c r="J19" s="74"/>
      <x:c r="K19" s="74"/>
      <x:c r="L19" s="74"/>
      <x:c r="M19" s="74"/>
      <x:c r="N19" s="75"/>
    </x:row>
    <x:row r="20">
      <x:c r="A20" s="48" t="n">
        <x:v>2026</x:v>
      </x:c>
      <x:c r="B20" s="49" t="n">
        <x:v>2473.6</x:v>
      </x:c>
      <x:c r="C20" s="48" t="str">
        <x:v>模型</x:v>
      </x:c>
      <x:c r="E20" s="76"/>
      <x:c r="F20" s="77"/>
      <x:c r="G20" s="77"/>
      <x:c r="H20" s="77"/>
      <x:c r="I20" s="77"/>
      <x:c r="J20" s="77"/>
      <x:c r="K20" s="77"/>
      <x:c r="L20" s="77"/>
      <x:c r="M20" s="77"/>
      <x:c r="N20" s="78"/>
    </x:row>
    <x:row r="21">
      <x:c r="A21" s="48" t="n">
        <x:v>2027</x:v>
      </x:c>
      <x:c r="B21" s="49" t="n">
        <x:v>2557.7</x:v>
      </x:c>
      <x:c r="C21" s="48" t="str">
        <x:v>模型</x:v>
      </x:c>
      <x:c r="E21" s="76"/>
      <x:c r="F21" s="77"/>
      <x:c r="G21" s="77"/>
      <x:c r="H21" s="77"/>
      <x:c r="I21" s="77"/>
      <x:c r="J21" s="77"/>
      <x:c r="K21" s="77"/>
      <x:c r="L21" s="77"/>
      <x:c r="M21" s="77"/>
      <x:c r="N21" s="78"/>
    </x:row>
    <x:row r="22">
      <x:c r="A22" s="48" t="n">
        <x:v>2028</x:v>
      </x:c>
      <x:c r="B22" s="49" t="n">
        <x:v>2644.7</x:v>
      </x:c>
      <x:c r="C22" s="48" t="str">
        <x:v>模型</x:v>
      </x:c>
      <x:c r="E22" s="76"/>
      <x:c r="F22" s="77"/>
      <x:c r="G22" s="77"/>
      <x:c r="H22" s="77"/>
      <x:c r="I22" s="77"/>
      <x:c r="J22" s="77"/>
      <x:c r="K22" s="77"/>
      <x:c r="L22" s="77"/>
      <x:c r="M22" s="77"/>
      <x:c r="N22" s="78"/>
    </x:row>
    <x:row r="23">
      <x:c r="A23" s="48" t="n">
        <x:v>2029</x:v>
      </x:c>
      <x:c r="B23" s="49" t="n">
        <x:v>2734.6</x:v>
      </x:c>
      <x:c r="C23" s="48" t="str">
        <x:v>模型</x:v>
      </x:c>
      <x:c r="E23" s="79"/>
      <x:c r="F23" s="80"/>
      <x:c r="G23" s="80"/>
      <x:c r="H23" s="80"/>
      <x:c r="I23" s="80"/>
      <x:c r="J23" s="80"/>
      <x:c r="K23" s="80"/>
      <x:c r="L23" s="80"/>
      <x:c r="M23" s="80"/>
      <x:c r="N23" s="81"/>
    </x:row>
    <x:row r="24">
      <x:c r="A24" s="48" t="n">
        <x:v>2030</x:v>
      </x:c>
      <x:c r="B24" s="49" t="n">
        <x:v>2827.6</x:v>
      </x:c>
      <x:c r="C24" s="48" t="str">
        <x:v>模型</x:v>
      </x:c>
    </x:row>
    <x:row r="25">
      <x:c r="A25" s="48" t="n">
        <x:v>2031</x:v>
      </x:c>
      <x:c r="B25" s="49" t="n">
        <x:v>2923.7</x:v>
      </x:c>
      <x:c r="C25" s="48" t="str">
        <x:v>模型</x:v>
      </x:c>
    </x:row>
  </x:sheetData>
  <x:mergeCells>
    <x:mergeCell ref="A1:N1"/>
    <x:mergeCell ref="A2:N2"/>
    <x:mergeCell ref="E18:N18"/>
    <x:mergeCell ref="E19:N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3" hidden="0" customWidth="1"/>
    <x:col min="4" max="4" width="28" hidden="0" customWidth="1"/>
    <x:col min="5" max="5" width="30" hidden="0" customWidth="1"/>
    <x:col min="6" max="6" width="10" hidden="0" customWidth="1"/>
    <x:col min="7" max="7" width="14" hidden="0" customWidth="1"/>
    <x:col min="8" max="8" width="14" hidden="0" customWidth="1"/>
    <x:col min="9" max="9" width="34" hidden="0" customWidth="1"/>
    <x:col min="10" max="10" width="22" hidden="0" customWidth="1"/>
    <x:col min="11" max="11" width="48" hidden="0" customWidth="1"/>
    <x:col min="12" max="12" width="46" hidden="0" customWidth="1"/>
    <x:col min="13" max="13" width="14" hidden="0" customWidth="1"/>
  </x:cols>
  <x:sheetData>
    <x:row r="1" ht="36" customHeight="1">
      <x:c r="A1" s="4" t="str">
        <x:v>白银固定监测指标字典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8" t="str">
        <x:v>每项指标都说明定义、决策含义、数据来源和限制；代理指标不可与吨数直接相加。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>
      <x:c r="A4" s="14" t="str">
        <x:v>编号</x:v>
      </x:c>
      <x:c r="B4" s="14" t="str">
        <x:v>监测主题</x:v>
      </x:c>
      <x:c r="C4" s="14" t="str">
        <x:v>指标角色</x:v>
      </x:c>
      <x:c r="D4" s="14" t="str">
        <x:v>指标名称</x:v>
      </x:c>
      <x:c r="E4" s="14" t="str">
        <x:v>定义/计算</x:v>
      </x:c>
      <x:c r="F4" s="14" t="str">
        <x:v>单位</x:v>
      </x:c>
      <x:c r="G4" s="14" t="str">
        <x:v>利多方向</x:v>
      </x:c>
      <x:c r="H4" s="14" t="str">
        <x:v>更新频率</x:v>
      </x:c>
      <x:c r="I4" s="14" t="str">
        <x:v>决策含义</x:v>
      </x:c>
      <x:c r="J4" s="14" t="str">
        <x:v>主要来源</x:v>
      </x:c>
      <x:c r="K4" s="14" t="str">
        <x:v>来源URL</x:v>
      </x:c>
      <x:c r="L4" s="14" t="str">
        <x:v>数据质量/限制</x:v>
      </x:c>
      <x:c r="M4" s="14" t="str">
        <x:v>建议负责人</x:v>
      </x:c>
    </x:row>
    <x:row r="5" ht="42" customHeight="1">
      <x:c r="A5" s="20" t="n">
        <x:v>1</x:v>
      </x:c>
      <x:c r="B5" s="20" t="str">
        <x:v>光伏银耗</x:v>
      </x:c>
      <x:c r="C5" s="20" t="str">
        <x:v>主指标</x:v>
      </x:c>
      <x:c r="D5" s="20" t="str">
        <x:v>全球光伏用银量</x:v>
      </x:c>
      <x:c r="E5" s="20" t="str">
        <x:v>按来源发布口径记录</x:v>
      </x:c>
      <x:c r="F5" s="20" t="str">
        <x:v>吨</x:v>
      </x:c>
      <x:c r="G5" s="20" t="str">
        <x:v>越高越利多</x:v>
      </x:c>
      <x:c r="H5" s="20" t="str">
        <x:v>年度</x:v>
      </x:c>
      <x:c r="I5" s="20" t="str">
        <x:v>判断装机增长能否抵消单位降银</x:v>
      </x:c>
      <x:c r="J5" s="20" t="str">
        <x:v>silverinstitute.org</x:v>
      </x:c>
      <x:c r="K5" s="20" t="str">
        <x:v>https://silverinstitute.org/wp-content/uploads/2026/04/World-Silver-Survey-2026.pdf</x:v>
      </x:c>
      <x:c r="L5" s="20" t="str">
        <x:v>装机增长与单位降银的合成结果；2026同比约-19.1%</x:v>
      </x:c>
      <x:c r="M5" s="20" t="str">
        <x:v>研究负责人</x:v>
      </x:c>
    </x:row>
    <x:row r="6" ht="42" customHeight="1">
      <x:c r="A6" s="21" t="n">
        <x:v>2</x:v>
      </x:c>
      <x:c r="B6" s="21" t="str">
        <x:v>光伏银耗</x:v>
      </x:c>
      <x:c r="C6" s="21" t="str">
        <x:v>驱动</x:v>
      </x:c>
      <x:c r="D6" s="21" t="str">
        <x:v>电池平均单位银耗</x:v>
      </x:c>
      <x:c r="E6" s="21" t="str">
        <x:v>按来源发布口径记录</x:v>
      </x:c>
      <x:c r="F6" s="21" t="str">
        <x:v>mg/W</x:v>
      </x:c>
      <x:c r="G6" s="21" t="str">
        <x:v>越高越利多</x:v>
      </x:c>
      <x:c r="H6" s="21" t="str">
        <x:v>季度</x:v>
      </x:c>
      <x:c r="I6" s="21" t="str">
        <x:v>判断装机增长能否抵消单位降银</x:v>
      </x:c>
      <x:c r="J6" s="21" t="str">
        <x:v>silverinstitute.org</x:v>
      </x:c>
      <x:c r="K6" s="21" t="str">
        <x:v>https://silverinstitute.org/wp-content/uploads/2026/04/World-Silver-Survey-2026.pdf</x:v>
      </x:c>
      <x:c r="L6" s="21" t="str">
        <x:v>按TOPCon、HJT、BC路线分别更新；WSS提示2027年主流可能低于5 mg/W</x:v>
      </x:c>
      <x:c r="M6" s="21" t="str">
        <x:v>研究负责人</x:v>
      </x:c>
    </x:row>
    <x:row r="7" ht="42" customHeight="1">
      <x:c r="A7" s="21" t="n">
        <x:v>3</x:v>
      </x:c>
      <x:c r="B7" s="21" t="str">
        <x:v>光伏银耗</x:v>
      </x:c>
      <x:c r="C7" s="21" t="str">
        <x:v>驱动</x:v>
      </x:c>
      <x:c r="D7" s="21" t="str">
        <x:v>全球新增光伏装机</x:v>
      </x:c>
      <x:c r="E7" s="21" t="str">
        <x:v>按来源发布口径记录</x:v>
      </x:c>
      <x:c r="F7" s="21" t="str">
        <x:v>GW</x:v>
      </x:c>
      <x:c r="G7" s="21" t="str">
        <x:v>越高越利多</x:v>
      </x:c>
      <x:c r="H7" s="21" t="str">
        <x:v>季度/年度</x:v>
      </x:c>
      <x:c r="I7" s="21" t="str">
        <x:v>判断装机增长能否抵消单位降银</x:v>
      </x:c>
      <x:c r="J7" s="21" t="str">
        <x:v>www.iea.org</x:v>
      </x:c>
      <x:c r="K7" s="21" t="str">
        <x:v>https://www.iea.org/reports/renewables-2025/executive-summary</x:v>
      </x:c>
      <x:c r="L7" s="21" t="str">
        <x:v>需与单位银耗联合解读，不能单独外推白银需求</x:v>
      </x:c>
      <x:c r="M7" s="21" t="str">
        <x:v>研究负责人</x:v>
      </x:c>
    </x:row>
    <x:row r="8" ht="42" customHeight="1">
      <x:c r="A8" s="21" t="n">
        <x:v>4</x:v>
      </x:c>
      <x:c r="B8" s="21" t="str">
        <x:v>非光伏电气电子</x:v>
      </x:c>
      <x:c r="C8" s="21" t="str">
        <x:v>主指标</x:v>
      </x:c>
      <x:c r="D8" s="21" t="str">
        <x:v>非光伏电气电子用银</x:v>
      </x:c>
      <x:c r="E8" s="21" t="str">
        <x:v>电气电子总用银−光伏用银</x:v>
      </x:c>
      <x:c r="F8" s="21" t="str">
        <x:v>吨</x:v>
      </x:c>
      <x:c r="G8" s="21" t="str">
        <x:v>越高越利多</x:v>
      </x:c>
      <x:c r="H8" s="21" t="str">
        <x:v>年度</x:v>
      </x:c>
      <x:c r="I8" s="21" t="str">
        <x:v>判断AI、汽车、电网等合计增量</x:v>
      </x:c>
      <x:c r="J8" s="21" t="str">
        <x:v>silverinstitute.org</x:v>
      </x:c>
      <x:c r="K8" s="21" t="str">
        <x:v>https://silverinstitute.org/wp-content/uploads/2026/04/World-Silver-Survey-2026.pdf</x:v>
      </x:c>
      <x:c r="L8" s="21" t="str">
        <x:v>电气电子总量减光伏；包含汽车、AI、电网、半导体、通信和消费电子</x:v>
      </x:c>
      <x:c r="M8" s="21" t="str">
        <x:v>研究负责人</x:v>
      </x:c>
    </x:row>
    <x:row r="9" ht="42" customHeight="1">
      <x:c r="A9" s="21" t="n">
        <x:v>5</x:v>
      </x:c>
      <x:c r="B9" s="21" t="str">
        <x:v>非光伏电气电子</x:v>
      </x:c>
      <x:c r="C9" s="21" t="str">
        <x:v>守门指标</x:v>
      </x:c>
      <x:c r="D9" s="21" t="str">
        <x:v>占工业需求比重</x:v>
      </x:c>
      <x:c r="E9" s="21" t="str">
        <x:v>非光伏电气电子用银÷工业总需求</x:v>
      </x:c>
      <x:c r="F9" s="21" t="str">
        <x:v>%</x:v>
      </x:c>
      <x:c r="G9" s="21" t="str">
        <x:v>越高越利多</x:v>
      </x:c>
      <x:c r="H9" s="21" t="str">
        <x:v>年度</x:v>
      </x:c>
      <x:c r="I9" s="21" t="str">
        <x:v>判断AI、汽车、电网等合计增量</x:v>
      </x:c>
      <x:c r="J9" s="21" t="str">
        <x:v>silverinstitute.org</x:v>
      </x:c>
      <x:c r="K9" s="21" t="str">
        <x:v>https://silverinstitute.org/wp-content/uploads/2026/04/World-Silver-Survey-2026.pdf</x:v>
      </x:c>
      <x:c r="L9" s="21" t="str">
        <x:v>用于判断电气化增量是否抵消光伏降银</x:v>
      </x:c>
      <x:c r="M9" s="21" t="str">
        <x:v>研究负责人</x:v>
      </x:c>
    </x:row>
    <x:row r="10" ht="42" customHeight="1">
      <x:c r="A10" s="21" t="n">
        <x:v>6</x:v>
      </x:c>
      <x:c r="B10" s="21" t="str">
        <x:v>非光伏电气电子</x:v>
      </x:c>
      <x:c r="C10" s="21" t="str">
        <x:v>驱动</x:v>
      </x:c>
      <x:c r="D10" s="21" t="str">
        <x:v>全球汽车行业用银</x:v>
      </x:c>
      <x:c r="E10" s="21" t="str">
        <x:v>按来源发布口径记录</x:v>
      </x:c>
      <x:c r="F10" s="21" t="str">
        <x:v>吨</x:v>
      </x:c>
      <x:c r="G10" s="21" t="str">
        <x:v>越高越利多</x:v>
      </x:c>
      <x:c r="H10" s="21" t="str">
        <x:v>年度</x:v>
      </x:c>
      <x:c r="I10" s="21" t="str">
        <x:v>判断AI、汽车、电网等合计增量</x:v>
      </x:c>
      <x:c r="J10" s="21" t="str">
        <x:v>silverinstitute.org</x:v>
      </x:c>
      <x:c r="K10" s="21" t="str">
        <x:v>https://silverinstitute.org/wp-content/uploads/2025/12/Silver_The-Next-Generation-Metal_DECEMBER-Release.pdf</x:v>
      </x:c>
      <x:c r="L10" s="21" t="str">
        <x:v>由2031年2,923.7吨及3.4%复合增速反推；全汽车口径</x:v>
      </x:c>
      <x:c r="M10" s="21" t="str">
        <x:v>研究负责人</x:v>
      </x:c>
    </x:row>
    <x:row r="11" ht="42" customHeight="1">
      <x:c r="A11" s="21" t="n">
        <x:v>7</x:v>
      </x:c>
      <x:c r="B11" s="21" t="str">
        <x:v>高功率封装</x:v>
      </x:c>
      <x:c r="C11" s="21" t="str">
        <x:v>代理指标</x:v>
      </x:c>
      <x:c r="D11" s="21" t="str">
        <x:v>SiC/IGBT功率模块出货增速</x:v>
      </x:c>
      <x:c r="E11" s="21" t="str">
        <x:v>按来源发布口径记录</x:v>
      </x:c>
      <x:c r="F11" s="21" t="str">
        <x:v>%</x:v>
      </x:c>
      <x:c r="G11" s="21" t="str">
        <x:v>越高越利多</x:v>
      </x:c>
      <x:c r="H11" s="21" t="str">
        <x:v>季度</x:v>
      </x:c>
      <x:c r="I11" s="21" t="str">
        <x:v>捕捉银烧结和高可靠连接材料需求</x:v>
      </x:c>
      <x:c r="J11" s="21" t="str">
        <x:v>待确定</x:v>
      </x:c>
      <x:c r="K11" s="21" t="str"/>
      <x:c r="L11" s="21" t="str">
        <x:v>建议接入Yole/Omdia或主要功率半导体企业出货数据</x:v>
      </x:c>
      <x:c r="M11" s="21" t="str">
        <x:v>研究负责人</x:v>
      </x:c>
    </x:row>
    <x:row r="12" ht="42" customHeight="1">
      <x:c r="A12" s="21" t="n">
        <x:v>8</x:v>
      </x:c>
      <x:c r="B12" s="21" t="str">
        <x:v>高功率封装</x:v>
      </x:c>
      <x:c r="C12" s="21" t="str">
        <x:v>主代理指标</x:v>
      </x:c>
      <x:c r="D12" s="21" t="str">
        <x:v>银烧结/银钎焊材料出货</x:v>
      </x:c>
      <x:c r="E12" s="21" t="str">
        <x:v>按来源发布口径记录</x:v>
      </x:c>
      <x:c r="F12" s="21" t="str">
        <x:v>吨</x:v>
      </x:c>
      <x:c r="G12" s="21" t="str">
        <x:v>越高越利多</x:v>
      </x:c>
      <x:c r="H12" s="21" t="str">
        <x:v>季度</x:v>
      </x:c>
      <x:c r="I12" s="21" t="str">
        <x:v>捕捉银烧结和高可靠连接材料需求</x:v>
      </x:c>
      <x:c r="J12" s="21" t="str">
        <x:v>待确定</x:v>
      </x:c>
      <x:c r="K12" s="21" t="str"/>
      <x:c r="L12" s="21" t="str">
        <x:v>优先寻找材料企业销量或BOM；缺少全球统一口径</x:v>
      </x:c>
      <x:c r="M12" s="21" t="str">
        <x:v>研究负责人</x:v>
      </x:c>
    </x:row>
    <x:row r="13" ht="42" customHeight="1">
      <x:c r="A13" s="21" t="n">
        <x:v>9</x:v>
      </x:c>
      <x:c r="B13" s="21" t="str">
        <x:v>AI物理基础设施</x:v>
      </x:c>
      <x:c r="C13" s="21" t="str">
        <x:v>主代理指标</x:v>
      </x:c>
      <x:c r="D13" s="21" t="str">
        <x:v>全球数据中心用电</x:v>
      </x:c>
      <x:c r="E13" s="21" t="str">
        <x:v>按来源发布口径记录</x:v>
      </x:c>
      <x:c r="F13" s="21" t="str">
        <x:v>TWh</x:v>
      </x:c>
      <x:c r="G13" s="21" t="str">
        <x:v>越高越利多</x:v>
      </x:c>
      <x:c r="H13" s="21" t="str">
        <x:v>年度</x:v>
      </x:c>
      <x:c r="I13" s="21" t="str">
        <x:v>跟踪服务器与供配电硬件扩张</x:v>
      </x:c>
      <x:c r="J13" s="21" t="str">
        <x:v>www.iea.org</x:v>
      </x:c>
      <x:c r="K13" s="21" t="str">
        <x:v>https://www.iea.org/reports/key-questions-on-energy-and-ai/executive-summary</x:v>
      </x:c>
      <x:c r="L13" s="21" t="str">
        <x:v>IEA预计2030年约950 TWh；用电增长不能同比例映射银耗</x:v>
      </x:c>
      <x:c r="M13" s="21" t="str">
        <x:v>研究负责人</x:v>
      </x:c>
    </x:row>
    <x:row r="14" ht="42" customHeight="1">
      <x:c r="A14" s="21" t="n">
        <x:v>10</x:v>
      </x:c>
      <x:c r="B14" s="21" t="str">
        <x:v>AI物理基础设施</x:v>
      </x:c>
      <x:c r="C14" s="21" t="str">
        <x:v>驱动</x:v>
      </x:c>
      <x:c r="D14" s="21" t="str">
        <x:v>AI服务器/GPU系统出货增速</x:v>
      </x:c>
      <x:c r="E14" s="21" t="str">
        <x:v>按来源发布口径记录</x:v>
      </x:c>
      <x:c r="F14" s="21" t="str">
        <x:v>%</x:v>
      </x:c>
      <x:c r="G14" s="21" t="str">
        <x:v>越高越利多</x:v>
      </x:c>
      <x:c r="H14" s="21" t="str">
        <x:v>季度</x:v>
      </x:c>
      <x:c r="I14" s="21" t="str">
        <x:v>跟踪服务器与供配电硬件扩张</x:v>
      </x:c>
      <x:c r="J14" s="21" t="str">
        <x:v>待确定</x:v>
      </x:c>
      <x:c r="K14" s="21" t="str"/>
      <x:c r="L14" s="21" t="str">
        <x:v>建议接入服务器厂商、GPU厂商或IDC/Omdia出货数据</x:v>
      </x:c>
      <x:c r="M14" s="21" t="str">
        <x:v>研究负责人</x:v>
      </x:c>
    </x:row>
    <x:row r="15" ht="42" customHeight="1">
      <x:c r="A15" s="21" t="n">
        <x:v>11</x:v>
      </x:c>
      <x:c r="B15" s="21" t="str">
        <x:v>AI物理基础设施</x:v>
      </x:c>
      <x:c r="C15" s="21" t="str">
        <x:v>驱动</x:v>
      </x:c>
      <x:c r="D15" s="21" t="str">
        <x:v>数据中心新增IT容量</x:v>
      </x:c>
      <x:c r="E15" s="21" t="str">
        <x:v>按来源发布口径记录</x:v>
      </x:c>
      <x:c r="F15" s="21" t="str">
        <x:v>GW</x:v>
      </x:c>
      <x:c r="G15" s="21" t="str">
        <x:v>越高越利多</x:v>
      </x:c>
      <x:c r="H15" s="21" t="str">
        <x:v>季度</x:v>
      </x:c>
      <x:c r="I15" s="21" t="str">
        <x:v>跟踪服务器与供配电硬件扩张</x:v>
      </x:c>
      <x:c r="J15" s="21" t="str">
        <x:v>www.iea.org</x:v>
      </x:c>
      <x:c r="K15" s="21" t="str">
        <x:v>https://www.iea.org/reports/key-questions-on-energy-and-ai/executive-summary</x:v>
      </x:c>
      <x:c r="L15" s="21" t="str">
        <x:v>与PDU/UPS、开关柜和冷却系统订单联合观察</x:v>
      </x:c>
      <x:c r="M15" s="21" t="str">
        <x:v>研究负责人</x:v>
      </x:c>
    </x:row>
    <x:row r="16" ht="42" customHeight="1">
      <x:c r="A16" s="21" t="n">
        <x:v>12</x:v>
      </x:c>
      <x:c r="B16" s="21" t="str">
        <x:v>供应与投资</x:v>
      </x:c>
      <x:c r="C16" s="21" t="str">
        <x:v>供给</x:v>
      </x:c>
      <x:c r="D16" s="21" t="str">
        <x:v>全球矿山产量</x:v>
      </x:c>
      <x:c r="E16" s="21" t="str">
        <x:v>按来源发布口径记录</x:v>
      </x:c>
      <x:c r="F16" s="21" t="str">
        <x:v>吨</x:v>
      </x:c>
      <x:c r="G16" s="21" t="str">
        <x:v>越低越利多</x:v>
      </x:c>
      <x:c r="H16" s="21" t="str">
        <x:v>年度</x:v>
      </x:c>
      <x:c r="I16" s="21" t="str">
        <x:v>判断供给、库存和资金流紧张度</x:v>
      </x:c>
      <x:c r="J16" s="21" t="str">
        <x:v>silverinstitute.org</x:v>
      </x:c>
      <x:c r="K16" s="21" t="str">
        <x:v>https://silverinstitute.org/wp-content/uploads/2026/04/World-Silver-Survey-2026.pdf</x:v>
      </x:c>
      <x:c r="L16" s="21" t="str">
        <x:v>白银多为副产品，供给响应受铜、铅锌和金矿资本开支制约</x:v>
      </x:c>
      <x:c r="M16" s="21" t="str">
        <x:v>研究负责人</x:v>
      </x:c>
    </x:row>
    <x:row r="17" ht="42" customHeight="1">
      <x:c r="A17" s="21" t="n">
        <x:v>13</x:v>
      </x:c>
      <x:c r="B17" s="21" t="str">
        <x:v>供应与投资</x:v>
      </x:c>
      <x:c r="C17" s="21" t="str">
        <x:v>供给</x:v>
      </x:c>
      <x:c r="D17" s="21" t="str">
        <x:v>全球再生银供应</x:v>
      </x:c>
      <x:c r="E17" s="21" t="str">
        <x:v>按来源发布口径记录</x:v>
      </x:c>
      <x:c r="F17" s="21" t="str">
        <x:v>吨</x:v>
      </x:c>
      <x:c r="G17" s="21" t="str">
        <x:v>越低越利多</x:v>
      </x:c>
      <x:c r="H17" s="21" t="str">
        <x:v>年度</x:v>
      </x:c>
      <x:c r="I17" s="21" t="str">
        <x:v>判断供给、库存和资金流紧张度</x:v>
      </x:c>
      <x:c r="J17" s="21" t="str">
        <x:v>silverinstitute.org</x:v>
      </x:c>
      <x:c r="K17" s="21" t="str">
        <x:v>https://silverinstitute.org/wp-content/uploads/2026/04/World-Silver-Survey-2026.pdf</x:v>
      </x:c>
      <x:c r="L17" s="21" t="str">
        <x:v>高价推动回收；需关注回收和精炼瓶颈</x:v>
      </x:c>
      <x:c r="M17" s="21" t="str">
        <x:v>研究负责人</x:v>
      </x:c>
    </x:row>
    <x:row r="18" ht="42" customHeight="1">
      <x:c r="A18" s="21" t="n">
        <x:v>14</x:v>
      </x:c>
      <x:c r="B18" s="21" t="str">
        <x:v>供应与投资</x:v>
      </x:c>
      <x:c r="C18" s="21" t="str">
        <x:v>主指标</x:v>
      </x:c>
      <x:c r="D18" s="21" t="str">
        <x:v>全球市场平衡</x:v>
      </x:c>
      <x:c r="E18" s="21" t="str">
        <x:v>总供应−总需求；负值为缺口</x:v>
      </x:c>
      <x:c r="F18" s="21" t="str">
        <x:v>吨</x:v>
      </x:c>
      <x:c r="G18" s="21" t="str">
        <x:v>越低越利多</x:v>
      </x:c>
      <x:c r="H18" s="21" t="str">
        <x:v>年度</x:v>
      </x:c>
      <x:c r="I18" s="21" t="str">
        <x:v>判断供给、库存和资金流紧张度</x:v>
      </x:c>
      <x:c r="J18" s="21" t="str">
        <x:v>silverinstitute.org</x:v>
      </x:c>
      <x:c r="K18" s="21" t="str">
        <x:v>https://silverinstitute.org/wp-content/uploads/2026/04/World-Silver-Survey-2026.pdf</x:v>
      </x:c>
      <x:c r="L18" s="21" t="str">
        <x:v>供应减需求；负值为缺口；不含ETP资金流</x:v>
      </x:c>
      <x:c r="M18" s="21" t="str">
        <x:v>研究负责人</x:v>
      </x:c>
    </x:row>
    <x:row r="19" ht="42" customHeight="1">
      <x:c r="A19" s="21" t="n">
        <x:v>15</x:v>
      </x:c>
      <x:c r="B19" s="21" t="str">
        <x:v>供应与投资</x:v>
      </x:c>
      <x:c r="C19" s="21" t="str">
        <x:v>投资</x:v>
      </x:c>
      <x:c r="D19" s="21" t="str">
        <x:v>ETP净流入</x:v>
      </x:c>
      <x:c r="E19" s="21" t="str">
        <x:v>按来源发布口径记录</x:v>
      </x:c>
      <x:c r="F19" s="21" t="str">
        <x:v>吨</x:v>
      </x:c>
      <x:c r="G19" s="21" t="str">
        <x:v>越高越利多</x:v>
      </x:c>
      <x:c r="H19" s="21" t="str">
        <x:v>月度/年度</x:v>
      </x:c>
      <x:c r="I19" s="21" t="str">
        <x:v>判断供给、库存和资金流紧张度</x:v>
      </x:c>
      <x:c r="J19" s="21" t="str">
        <x:v>silverinstitute.org</x:v>
      </x:c>
      <x:c r="K19" s="21" t="str">
        <x:v>https://silverinstitute.org/elevated-lease-rates-regional-liquidity-tightness-and-robust-investor-interest-resulted-in-record-silver-prices-in-2025/</x:v>
      </x:c>
      <x:c r="L19" s="21" t="str">
        <x:v>资金流会影响可流通金属紧张程度</x:v>
      </x:c>
      <x:c r="M19" s="21" t="str">
        <x:v>研究负责人</x:v>
      </x:c>
    </x:row>
    <x:row r="20" ht="42" customHeight="1">
      <x:c r="A20" s="21" t="n">
        <x:v>16</x:v>
      </x:c>
      <x:c r="B20" s="21" t="str">
        <x:v>供应与投资</x:v>
      </x:c>
      <x:c r="C20" s="21" t="str">
        <x:v>库存</x:v>
      </x:c>
      <x:c r="D20" s="21" t="str">
        <x:v>交易所及伦敦可用库存</x:v>
      </x:c>
      <x:c r="E20" s="21" t="str">
        <x:v>按来源发布口径记录</x:v>
      </x:c>
      <x:c r="F20" s="21" t="str">
        <x:v>吨</x:v>
      </x:c>
      <x:c r="G20" s="21" t="str">
        <x:v>越低越利多</x:v>
      </x:c>
      <x:c r="H20" s="21" t="str">
        <x:v>周度/月度</x:v>
      </x:c>
      <x:c r="I20" s="21" t="str">
        <x:v>判断供给、库存和资金流紧张度</x:v>
      </x:c>
      <x:c r="J20" s="21" t="str">
        <x:v>待确定</x:v>
      </x:c>
      <x:c r="K20" s="21" t="str"/>
      <x:c r="L20" s="21" t="str">
        <x:v>建议分COMEX注册库存、LBMA库存和ETF托管库存记录</x:v>
      </x:c>
      <x:c r="M20" s="21" t="str">
        <x:v>研究负责人</x:v>
      </x:c>
    </x:row>
    <x:row r="21" ht="42" customHeight="1">
      <x:c r="A21" s="21" t="n">
        <x:v>17</x:v>
      </x:c>
      <x:c r="B21" s="21" t="str">
        <x:v>供应与投资</x:v>
      </x:c>
      <x:c r="C21" s="21" t="str">
        <x:v>流动性</x:v>
      </x:c>
      <x:c r="D21" s="21" t="str">
        <x:v>白银租借利率</x:v>
      </x:c>
      <x:c r="E21" s="21" t="str">
        <x:v>按来源发布口径记录</x:v>
      </x:c>
      <x:c r="F21" s="21" t="str">
        <x:v>%</x:v>
      </x:c>
      <x:c r="G21" s="21" t="str">
        <x:v>越高越利多</x:v>
      </x:c>
      <x:c r="H21" s="21" t="str">
        <x:v>周度/月度</x:v>
      </x:c>
      <x:c r="I21" s="21" t="str">
        <x:v>判断供给、库存和资金流紧张度</x:v>
      </x:c>
      <x:c r="J21" s="21" t="str">
        <x:v>待确定</x:v>
      </x:c>
      <x:c r="K21" s="21" t="str"/>
      <x:c r="L21" s="21" t="str">
        <x:v>高租借利率通常提示现货或区域流动性偏紧</x:v>
      </x:c>
      <x:c r="M21" s="21" t="str">
        <x:v>研究负责人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48" hidden="0" customWidth="1"/>
    <x:col min="9" max="9" width="14" hidden="0" customWidth="1"/>
    <x:col min="10" max="10" width="42" hidden="0" customWidth="1"/>
  </x:cols>
  <x:sheetData>
    <x:row r="1" ht="36" customHeight="1">
      <x:c r="A1" s="4" t="str">
        <x:v>监测更新日志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每次修改指标后登记一行，保留来源、复核和口径变化。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4" t="str">
        <x:v>更新时间</x:v>
      </x:c>
      <x:c r="B4" s="14" t="str">
        <x:v>监测主题</x:v>
      </x:c>
      <x:c r="C4" s="14" t="str">
        <x:v>指标名称</x:v>
      </x:c>
      <x:c r="D4" s="14" t="str">
        <x:v>原期间</x:v>
      </x:c>
      <x:c r="E4" s="14" t="str">
        <x:v>原值</x:v>
      </x:c>
      <x:c r="F4" s="14" t="str">
        <x:v>新期间</x:v>
      </x:c>
      <x:c r="G4" s="14" t="str">
        <x:v>新值</x:v>
      </x:c>
      <x:c r="H4" s="14" t="str">
        <x:v>来源URL</x:v>
      </x:c>
      <x:c r="I4" s="14" t="str">
        <x:v>复核人</x:v>
      </x:c>
      <x:c r="J4" s="14" t="str">
        <x:v>备注</x:v>
      </x:c>
    </x:row>
    <x:row r="5">
      <x:c r="A5" s="309"/>
      <x:c r="B5" s="20"/>
      <x:c r="C5" s="20"/>
      <x:c r="D5" s="20"/>
      <x:c r="E5" s="42"/>
      <x:c r="F5" s="20"/>
      <x:c r="G5" s="42"/>
      <x:c r="H5" s="20"/>
      <x:c r="I5" s="20"/>
      <x:c r="J5" s="20"/>
    </x:row>
    <x:row r="6">
      <x:c r="A6" s="310"/>
      <x:c r="B6" s="21"/>
      <x:c r="C6" s="21"/>
      <x:c r="D6" s="21"/>
      <x:c r="E6" s="43"/>
      <x:c r="F6" s="21"/>
      <x:c r="G6" s="43"/>
      <x:c r="H6" s="21"/>
      <x:c r="I6" s="21"/>
      <x:c r="J6" s="21"/>
    </x:row>
    <x:row r="7">
      <x:c r="A7" s="310"/>
      <x:c r="B7" s="21"/>
      <x:c r="C7" s="21"/>
      <x:c r="D7" s="21"/>
      <x:c r="E7" s="43"/>
      <x:c r="F7" s="21"/>
      <x:c r="G7" s="43"/>
      <x:c r="H7" s="21"/>
      <x:c r="I7" s="21"/>
      <x:c r="J7" s="21"/>
    </x:row>
    <x:row r="8">
      <x:c r="A8" s="310"/>
      <x:c r="B8" s="21"/>
      <x:c r="C8" s="21"/>
      <x:c r="D8" s="21"/>
      <x:c r="E8" s="43"/>
      <x:c r="F8" s="21"/>
      <x:c r="G8" s="43"/>
      <x:c r="H8" s="21"/>
      <x:c r="I8" s="21"/>
      <x:c r="J8" s="21"/>
    </x:row>
    <x:row r="9">
      <x:c r="A9" s="310"/>
      <x:c r="B9" s="21"/>
      <x:c r="C9" s="21"/>
      <x:c r="D9" s="21"/>
      <x:c r="E9" s="43"/>
      <x:c r="F9" s="21"/>
      <x:c r="G9" s="43"/>
      <x:c r="H9" s="21"/>
      <x:c r="I9" s="21"/>
      <x:c r="J9" s="21"/>
    </x:row>
    <x:row r="10">
      <x:c r="A10" s="310"/>
      <x:c r="B10" s="21"/>
      <x:c r="C10" s="21"/>
      <x:c r="D10" s="21"/>
      <x:c r="E10" s="43"/>
      <x:c r="F10" s="21"/>
      <x:c r="G10" s="43"/>
      <x:c r="H10" s="21"/>
      <x:c r="I10" s="21"/>
      <x:c r="J10" s="21"/>
    </x:row>
    <x:row r="11">
      <x:c r="A11" s="310"/>
      <x:c r="B11" s="21"/>
      <x:c r="C11" s="21"/>
      <x:c r="D11" s="21"/>
      <x:c r="E11" s="43"/>
      <x:c r="F11" s="21"/>
      <x:c r="G11" s="43"/>
      <x:c r="H11" s="21"/>
      <x:c r="I11" s="21"/>
      <x:c r="J11" s="21"/>
    </x:row>
    <x:row r="12">
      <x:c r="A12" s="310"/>
      <x:c r="B12" s="21"/>
      <x:c r="C12" s="21"/>
      <x:c r="D12" s="21"/>
      <x:c r="E12" s="43"/>
      <x:c r="F12" s="21"/>
      <x:c r="G12" s="43"/>
      <x:c r="H12" s="21"/>
      <x:c r="I12" s="21"/>
      <x:c r="J12" s="21"/>
    </x:row>
    <x:row r="13">
      <x:c r="A13" s="310"/>
      <x:c r="B13" s="21"/>
      <x:c r="C13" s="21"/>
      <x:c r="D13" s="21"/>
      <x:c r="E13" s="43"/>
      <x:c r="F13" s="21"/>
      <x:c r="G13" s="43"/>
      <x:c r="H13" s="21"/>
      <x:c r="I13" s="21"/>
      <x:c r="J13" s="21"/>
    </x:row>
    <x:row r="14">
      <x:c r="A14" s="310"/>
      <x:c r="B14" s="21"/>
      <x:c r="C14" s="21"/>
      <x:c r="D14" s="21"/>
      <x:c r="E14" s="43"/>
      <x:c r="F14" s="21"/>
      <x:c r="G14" s="43"/>
      <x:c r="H14" s="21"/>
      <x:c r="I14" s="21"/>
      <x:c r="J14" s="21"/>
    </x:row>
    <x:row r="15">
      <x:c r="A15" s="310"/>
      <x:c r="B15" s="21"/>
      <x:c r="C15" s="21"/>
      <x:c r="D15" s="21"/>
      <x:c r="E15" s="43"/>
      <x:c r="F15" s="21"/>
      <x:c r="G15" s="43"/>
      <x:c r="H15" s="21"/>
      <x:c r="I15" s="21"/>
      <x:c r="J15" s="21"/>
    </x:row>
    <x:row r="16">
      <x:c r="A16" s="310"/>
      <x:c r="B16" s="21"/>
      <x:c r="C16" s="21"/>
      <x:c r="D16" s="21"/>
      <x:c r="E16" s="43"/>
      <x:c r="F16" s="21"/>
      <x:c r="G16" s="43"/>
      <x:c r="H16" s="21"/>
      <x:c r="I16" s="21"/>
      <x:c r="J16" s="21"/>
    </x:row>
    <x:row r="17">
      <x:c r="A17" s="310"/>
      <x:c r="B17" s="21"/>
      <x:c r="C17" s="21"/>
      <x:c r="D17" s="21"/>
      <x:c r="E17" s="43"/>
      <x:c r="F17" s="21"/>
      <x:c r="G17" s="43"/>
      <x:c r="H17" s="21"/>
      <x:c r="I17" s="21"/>
      <x:c r="J17" s="21"/>
    </x:row>
    <x:row r="18">
      <x:c r="A18" s="310"/>
      <x:c r="B18" s="21"/>
      <x:c r="C18" s="21"/>
      <x:c r="D18" s="21"/>
      <x:c r="E18" s="43"/>
      <x:c r="F18" s="21"/>
      <x:c r="G18" s="43"/>
      <x:c r="H18" s="21"/>
      <x:c r="I18" s="21"/>
      <x:c r="J18" s="21"/>
    </x:row>
    <x:row r="19">
      <x:c r="A19" s="310"/>
      <x:c r="B19" s="21"/>
      <x:c r="C19" s="21"/>
      <x:c r="D19" s="21"/>
      <x:c r="E19" s="43"/>
      <x:c r="F19" s="21"/>
      <x:c r="G19" s="43"/>
      <x:c r="H19" s="21"/>
      <x:c r="I19" s="21"/>
      <x:c r="J19" s="21"/>
    </x:row>
    <x:row r="20">
      <x:c r="A20" s="310"/>
      <x:c r="B20" s="21"/>
      <x:c r="C20" s="21"/>
      <x:c r="D20" s="21"/>
      <x:c r="E20" s="43"/>
      <x:c r="F20" s="21"/>
      <x:c r="G20" s="43"/>
      <x:c r="H20" s="21"/>
      <x:c r="I20" s="21"/>
      <x:c r="J20" s="21"/>
    </x:row>
    <x:row r="21">
      <x:c r="A21" s="310"/>
      <x:c r="B21" s="21"/>
      <x:c r="C21" s="21"/>
      <x:c r="D21" s="21"/>
      <x:c r="E21" s="43"/>
      <x:c r="F21" s="21"/>
      <x:c r="G21" s="43"/>
      <x:c r="H21" s="21"/>
      <x:c r="I21" s="21"/>
      <x:c r="J21" s="21"/>
    </x:row>
    <x:row r="22">
      <x:c r="A22" s="310"/>
      <x:c r="B22" s="21"/>
      <x:c r="C22" s="21"/>
      <x:c r="D22" s="21"/>
      <x:c r="E22" s="43"/>
      <x:c r="F22" s="21"/>
      <x:c r="G22" s="43"/>
      <x:c r="H22" s="21"/>
      <x:c r="I22" s="21"/>
      <x:c r="J22" s="21"/>
    </x:row>
    <x:row r="23">
      <x:c r="A23" s="310"/>
      <x:c r="B23" s="21"/>
      <x:c r="C23" s="21"/>
      <x:c r="D23" s="21"/>
      <x:c r="E23" s="43"/>
      <x:c r="F23" s="21"/>
      <x:c r="G23" s="43"/>
      <x:c r="H23" s="21"/>
      <x:c r="I23" s="21"/>
      <x:c r="J23" s="21"/>
    </x:row>
    <x:row r="24">
      <x:c r="A24" s="310"/>
      <x:c r="B24" s="21"/>
      <x:c r="C24" s="21"/>
      <x:c r="D24" s="21"/>
      <x:c r="E24" s="43"/>
      <x:c r="F24" s="21"/>
      <x:c r="G24" s="43"/>
      <x:c r="H24" s="21"/>
      <x:c r="I24" s="21"/>
      <x:c r="J24" s="21"/>
    </x:row>
    <x:row r="25">
      <x:c r="A25" s="310"/>
      <x:c r="B25" s="21"/>
      <x:c r="C25" s="21"/>
      <x:c r="D25" s="21"/>
      <x:c r="E25" s="43"/>
      <x:c r="F25" s="21"/>
      <x:c r="G25" s="43"/>
      <x:c r="H25" s="21"/>
      <x:c r="I25" s="21"/>
      <x:c r="J25" s="21"/>
    </x:row>
    <x:row r="26">
      <x:c r="A26" s="310"/>
      <x:c r="B26" s="21"/>
      <x:c r="C26" s="21"/>
      <x:c r="D26" s="21"/>
      <x:c r="E26" s="43"/>
      <x:c r="F26" s="21"/>
      <x:c r="G26" s="43"/>
      <x:c r="H26" s="21"/>
      <x:c r="I26" s="21"/>
      <x:c r="J26" s="21"/>
    </x:row>
    <x:row r="27">
      <x:c r="A27" s="310"/>
      <x:c r="B27" s="21"/>
      <x:c r="C27" s="21"/>
      <x:c r="D27" s="21"/>
      <x:c r="E27" s="43"/>
      <x:c r="F27" s="21"/>
      <x:c r="G27" s="43"/>
      <x:c r="H27" s="21"/>
      <x:c r="I27" s="21"/>
      <x:c r="J27" s="21"/>
    </x:row>
    <x:row r="28">
      <x:c r="A28" s="310"/>
      <x:c r="B28" s="21"/>
      <x:c r="C28" s="21"/>
      <x:c r="D28" s="21"/>
      <x:c r="E28" s="43"/>
      <x:c r="F28" s="21"/>
      <x:c r="G28" s="43"/>
      <x:c r="H28" s="21"/>
      <x:c r="I28" s="21"/>
      <x:c r="J28" s="21"/>
    </x:row>
    <x:row r="29">
      <x:c r="A29" s="310"/>
      <x:c r="B29" s="21"/>
      <x:c r="C29" s="21"/>
      <x:c r="D29" s="21"/>
      <x:c r="E29" s="43"/>
      <x:c r="F29" s="21"/>
      <x:c r="G29" s="43"/>
      <x:c r="H29" s="21"/>
      <x:c r="I29" s="21"/>
      <x:c r="J29" s="21"/>
    </x:row>
    <x:row r="30">
      <x:c r="A30" s="310"/>
      <x:c r="B30" s="21"/>
      <x:c r="C30" s="21"/>
      <x:c r="D30" s="21"/>
      <x:c r="E30" s="43"/>
      <x:c r="F30" s="21"/>
      <x:c r="G30" s="43"/>
      <x:c r="H30" s="21"/>
      <x:c r="I30" s="21"/>
      <x:c r="J30" s="21"/>
    </x:row>
    <x:row r="31">
      <x:c r="A31" s="310"/>
      <x:c r="B31" s="21"/>
      <x:c r="C31" s="21"/>
      <x:c r="D31" s="21"/>
      <x:c r="E31" s="43"/>
      <x:c r="F31" s="21"/>
      <x:c r="G31" s="43"/>
      <x:c r="H31" s="21"/>
      <x:c r="I31" s="21"/>
      <x:c r="J31" s="21"/>
    </x:row>
    <x:row r="32">
      <x:c r="A32" s="310"/>
      <x:c r="B32" s="21"/>
      <x:c r="C32" s="21"/>
      <x:c r="D32" s="21"/>
      <x:c r="E32" s="43"/>
      <x:c r="F32" s="21"/>
      <x:c r="G32" s="43"/>
      <x:c r="H32" s="21"/>
      <x:c r="I32" s="21"/>
      <x:c r="J32" s="21"/>
    </x:row>
    <x:row r="33">
      <x:c r="A33" s="310"/>
      <x:c r="B33" s="21"/>
      <x:c r="C33" s="21"/>
      <x:c r="D33" s="21"/>
      <x:c r="E33" s="43"/>
      <x:c r="F33" s="21"/>
      <x:c r="G33" s="43"/>
      <x:c r="H33" s="21"/>
      <x:c r="I33" s="21"/>
      <x:c r="J33" s="21"/>
    </x:row>
    <x:row r="34">
      <x:c r="A34" s="310"/>
      <x:c r="B34" s="21"/>
      <x:c r="C34" s="21"/>
      <x:c r="D34" s="21"/>
      <x:c r="E34" s="43"/>
      <x:c r="F34" s="21"/>
      <x:c r="G34" s="43"/>
      <x:c r="H34" s="21"/>
      <x:c r="I34" s="21"/>
      <x:c r="J34" s="21"/>
    </x:row>
    <x:row r="35">
      <x:c r="A35" s="310"/>
      <x:c r="B35" s="21"/>
      <x:c r="C35" s="21"/>
      <x:c r="D35" s="21"/>
      <x:c r="E35" s="43"/>
      <x:c r="F35" s="21"/>
      <x:c r="G35" s="43"/>
      <x:c r="H35" s="21"/>
      <x:c r="I35" s="21"/>
      <x:c r="J35" s="21"/>
    </x:row>
    <x:row r="36">
      <x:c r="A36" s="310"/>
      <x:c r="B36" s="21"/>
      <x:c r="C36" s="21"/>
      <x:c r="D36" s="21"/>
      <x:c r="E36" s="43"/>
      <x:c r="F36" s="21"/>
      <x:c r="G36" s="43"/>
      <x:c r="H36" s="21"/>
      <x:c r="I36" s="21"/>
      <x:c r="J36" s="21"/>
    </x:row>
    <x:row r="37">
      <x:c r="A37" s="310"/>
      <x:c r="B37" s="21"/>
      <x:c r="C37" s="21"/>
      <x:c r="D37" s="21"/>
      <x:c r="E37" s="43"/>
      <x:c r="F37" s="21"/>
      <x:c r="G37" s="43"/>
      <x:c r="H37" s="21"/>
      <x:c r="I37" s="21"/>
      <x:c r="J37" s="21"/>
    </x:row>
    <x:row r="38">
      <x:c r="A38" s="310"/>
      <x:c r="B38" s="21"/>
      <x:c r="C38" s="21"/>
      <x:c r="D38" s="21"/>
      <x:c r="E38" s="43"/>
      <x:c r="F38" s="21"/>
      <x:c r="G38" s="43"/>
      <x:c r="H38" s="21"/>
      <x:c r="I38" s="21"/>
      <x:c r="J38" s="21"/>
    </x:row>
    <x:row r="39">
      <x:c r="A39" s="310"/>
      <x:c r="B39" s="21"/>
      <x:c r="C39" s="21"/>
      <x:c r="D39" s="21"/>
      <x:c r="E39" s="43"/>
      <x:c r="F39" s="21"/>
      <x:c r="G39" s="43"/>
      <x:c r="H39" s="21"/>
      <x:c r="I39" s="21"/>
      <x:c r="J39" s="21"/>
    </x:row>
    <x:row r="40">
      <x:c r="A40" s="310"/>
      <x:c r="B40" s="21"/>
      <x:c r="C40" s="21"/>
      <x:c r="D40" s="21"/>
      <x:c r="E40" s="43"/>
      <x:c r="F40" s="21"/>
      <x:c r="G40" s="43"/>
      <x:c r="H40" s="21"/>
      <x:c r="I40" s="21"/>
      <x:c r="J40" s="21"/>
    </x:row>
    <x:row r="41">
      <x:c r="A41" s="310"/>
      <x:c r="B41" s="21"/>
      <x:c r="C41" s="21"/>
      <x:c r="D41" s="21"/>
      <x:c r="E41" s="43"/>
      <x:c r="F41" s="21"/>
      <x:c r="G41" s="43"/>
      <x:c r="H41" s="21"/>
      <x:c r="I41" s="21"/>
      <x:c r="J41" s="21"/>
    </x:row>
    <x:row r="42">
      <x:c r="A42" s="310"/>
      <x:c r="B42" s="21"/>
      <x:c r="C42" s="21"/>
      <x:c r="D42" s="21"/>
      <x:c r="E42" s="43"/>
      <x:c r="F42" s="21"/>
      <x:c r="G42" s="43"/>
      <x:c r="H42" s="21"/>
      <x:c r="I42" s="21"/>
      <x:c r="J42" s="21"/>
    </x:row>
    <x:row r="43">
      <x:c r="A43" s="310"/>
      <x:c r="B43" s="21"/>
      <x:c r="C43" s="21"/>
      <x:c r="D43" s="21"/>
      <x:c r="E43" s="43"/>
      <x:c r="F43" s="21"/>
      <x:c r="G43" s="43"/>
      <x:c r="H43" s="21"/>
      <x:c r="I43" s="21"/>
      <x:c r="J43" s="21"/>
    </x:row>
    <x:row r="44">
      <x:c r="A44" s="310"/>
      <x:c r="B44" s="21"/>
      <x:c r="C44" s="21"/>
      <x:c r="D44" s="21"/>
      <x:c r="E44" s="43"/>
      <x:c r="F44" s="21"/>
      <x:c r="G44" s="43"/>
      <x:c r="H44" s="21"/>
      <x:c r="I44" s="21"/>
      <x:c r="J44" s="21"/>
    </x:row>
    <x:row r="45">
      <x:c r="A45" s="310"/>
      <x:c r="B45" s="21"/>
      <x:c r="C45" s="21"/>
      <x:c r="D45" s="21"/>
      <x:c r="E45" s="43"/>
      <x:c r="F45" s="21"/>
      <x:c r="G45" s="43"/>
      <x:c r="H45" s="21"/>
      <x:c r="I45" s="21"/>
      <x:c r="J45" s="21"/>
    </x:row>
    <x:row r="46">
      <x:c r="A46" s="310"/>
      <x:c r="B46" s="21"/>
      <x:c r="C46" s="21"/>
      <x:c r="D46" s="21"/>
      <x:c r="E46" s="43"/>
      <x:c r="F46" s="21"/>
      <x:c r="G46" s="43"/>
      <x:c r="H46" s="21"/>
      <x:c r="I46" s="21"/>
      <x:c r="J46" s="21"/>
    </x:row>
    <x:row r="47">
      <x:c r="A47" s="310"/>
      <x:c r="B47" s="21"/>
      <x:c r="C47" s="21"/>
      <x:c r="D47" s="21"/>
      <x:c r="E47" s="43"/>
      <x:c r="F47" s="21"/>
      <x:c r="G47" s="43"/>
      <x:c r="H47" s="21"/>
      <x:c r="I47" s="21"/>
      <x:c r="J47" s="21"/>
    </x:row>
    <x:row r="48">
      <x:c r="A48" s="310"/>
      <x:c r="B48" s="21"/>
      <x:c r="C48" s="21"/>
      <x:c r="D48" s="21"/>
      <x:c r="E48" s="43"/>
      <x:c r="F48" s="21"/>
      <x:c r="G48" s="43"/>
      <x:c r="H48" s="21"/>
      <x:c r="I48" s="21"/>
      <x:c r="J48" s="21"/>
    </x:row>
    <x:row r="49">
      <x:c r="A49" s="310"/>
      <x:c r="B49" s="21"/>
      <x:c r="C49" s="21"/>
      <x:c r="D49" s="21"/>
      <x:c r="E49" s="43"/>
      <x:c r="F49" s="21"/>
      <x:c r="G49" s="43"/>
      <x:c r="H49" s="21"/>
      <x:c r="I49" s="21"/>
      <x:c r="J49" s="21"/>
    </x:row>
    <x:row r="50">
      <x:c r="A50" s="310"/>
      <x:c r="B50" s="21"/>
      <x:c r="C50" s="21"/>
      <x:c r="D50" s="21"/>
      <x:c r="E50" s="43"/>
      <x:c r="F50" s="21"/>
      <x:c r="G50" s="43"/>
      <x:c r="H50" s="21"/>
      <x:c r="I50" s="21"/>
      <x:c r="J50" s="21"/>
    </x:row>
    <x:row r="51">
      <x:c r="A51" s="310"/>
      <x:c r="B51" s="21"/>
      <x:c r="C51" s="21"/>
      <x:c r="D51" s="21"/>
      <x:c r="E51" s="43"/>
      <x:c r="F51" s="21"/>
      <x:c r="G51" s="43"/>
      <x:c r="H51" s="21"/>
      <x:c r="I51" s="21"/>
      <x:c r="J51" s="21"/>
    </x:row>
    <x:row r="52">
      <x:c r="A52" s="310"/>
      <x:c r="B52" s="21"/>
      <x:c r="C52" s="21"/>
      <x:c r="D52" s="21"/>
      <x:c r="E52" s="43"/>
      <x:c r="F52" s="21"/>
      <x:c r="G52" s="43"/>
      <x:c r="H52" s="21"/>
      <x:c r="I52" s="21"/>
      <x:c r="J52" s="21"/>
    </x:row>
    <x:row r="53">
      <x:c r="A53" s="310"/>
      <x:c r="B53" s="21"/>
      <x:c r="C53" s="21"/>
      <x:c r="D53" s="21"/>
      <x:c r="E53" s="43"/>
      <x:c r="F53" s="21"/>
      <x:c r="G53" s="43"/>
      <x:c r="H53" s="21"/>
      <x:c r="I53" s="21"/>
      <x:c r="J53" s="21"/>
    </x:row>
    <x:row r="54">
      <x:c r="A54" s="310"/>
      <x:c r="B54" s="21"/>
      <x:c r="C54" s="21"/>
      <x:c r="D54" s="21"/>
      <x:c r="E54" s="43"/>
      <x:c r="F54" s="21"/>
      <x:c r="G54" s="43"/>
      <x:c r="H54" s="21"/>
      <x:c r="I54" s="21"/>
      <x:c r="J54" s="21"/>
    </x:row>
  </x:sheetData>
  <x:mergeCells>
    <x:mergeCell ref="A1:J1"/>
    <x:mergeCell ref="A2:J2"/>
  </x:mergeCells>
  <x:dataValidations count="1">
    <x:dataValidation type="list" sqref="B5:B54">
      <x:formula1>"光伏银耗,非光伏电气电子,高功率封装,AI物理基础设施,供应与投资"</x:formula1>
    </x:dataValidation>
  </x:dataValidations>
  <x:pageMargins left="0.7" right="0.7" top="0.75" bottom="0.75" header="0.3" footer="0.3"/>
</x:worksheet>
</file>